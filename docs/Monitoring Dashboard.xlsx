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ource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<sst xmlns="http://schemas.openxmlformats.org/spreadsheetml/2006/main" count="653" uniqueCount="291">
  <si>
    <t>table_name</t>
  </si>
  <si>
    <t>id</t>
  </si>
  <si>
    <t>user_id</t>
  </si>
  <si>
    <t>email</t>
  </si>
  <si>
    <t>last_sign_in_at</t>
  </si>
  <si>
    <t>application_id</t>
  </si>
  <si>
    <t>outcome</t>
  </si>
  <si>
    <t>outcome_date</t>
  </si>
  <si>
    <t>from_status</t>
  </si>
  <si>
    <t>to_status</t>
  </si>
  <si>
    <t>changed_at</t>
  </si>
  <si>
    <t>job_id</t>
  </si>
  <si>
    <t>cv_id</t>
  </si>
  <si>
    <t>application_date</t>
  </si>
  <si>
    <t>current_status</t>
  </si>
  <si>
    <t>content</t>
  </si>
  <si>
    <t>visibility</t>
  </si>
  <si>
    <t>description</t>
  </si>
  <si>
    <t>source</t>
  </si>
  <si>
    <t>summary</t>
  </si>
  <si>
    <t>skills</t>
  </si>
  <si>
    <t>experience</t>
  </si>
  <si>
    <t>recommendation_id</t>
  </si>
  <si>
    <t>rating</t>
  </si>
  <si>
    <t>intended_action</t>
  </si>
  <si>
    <t>insight_id</t>
  </si>
  <si>
    <t>state</t>
  </si>
  <si>
    <t>shown_at</t>
  </si>
  <si>
    <t>reviewed_at</t>
  </si>
  <si>
    <t>dismissed_at</t>
  </si>
  <si>
    <t>created_at</t>
  </si>
  <si>
    <t>updated_at</t>
  </si>
  <si>
    <t>context_ready</t>
  </si>
  <si>
    <t>auth.users</t>
  </si>
  <si>
    <t>SIM-U01</t>
  </si>
  <si>
    <t>sim.user01@careerpilot.test</t>
  </si>
  <si>
    <t>2026-08-25T09:08:00+00:00</t>
  </si>
  <si>
    <t>2026-07-26T09:08:00+00:00</t>
  </si>
  <si>
    <t>SIM-U02</t>
  </si>
  <si>
    <t>sim.user02@careerpilot.test</t>
  </si>
  <si>
    <t>2026-08-25T09:16:00+00:00</t>
  </si>
  <si>
    <t>2026-07-26T09:16:00+00:00</t>
  </si>
  <si>
    <t>SIM-U03</t>
  </si>
  <si>
    <t>sim.user03@careerpilot.test</t>
  </si>
  <si>
    <t>2026-08-25T09:24:00+00:00</t>
  </si>
  <si>
    <t>2026-07-26T09:24:00+00:00</t>
  </si>
  <si>
    <t>SIM-U04</t>
  </si>
  <si>
    <t>sim.user04@careerpilot.test</t>
  </si>
  <si>
    <t>2026-08-25T09:32:00+00:00</t>
  </si>
  <si>
    <t>2026-07-26T09:32:00+00:00</t>
  </si>
  <si>
    <t>SIM-U05</t>
  </si>
  <si>
    <t>sim.user05@careerpilot.test</t>
  </si>
  <si>
    <t>2026-08-25T09:40:00+00:00</t>
  </si>
  <si>
    <t>2026-07-26T09:40:00+00:00</t>
  </si>
  <si>
    <t>SIM-U06</t>
  </si>
  <si>
    <t>sim.user06@careerpilot.test</t>
  </si>
  <si>
    <t>2026-08-25T09:48:00+00:00</t>
  </si>
  <si>
    <t>2026-07-26T09:48:00+00:00</t>
  </si>
  <si>
    <t>SIM-U07</t>
  </si>
  <si>
    <t>sim.user07@careerpilot.test</t>
  </si>
  <si>
    <t>2026-08-25T09:56:00+00:00</t>
  </si>
  <si>
    <t>2026-07-26T09:56:00+00:00</t>
  </si>
  <si>
    <t>SIM-U08</t>
  </si>
  <si>
    <t>sim.user08@careerpilot.test</t>
  </si>
  <si>
    <t>2026-08-25T10:04:00+00:00</t>
  </si>
  <si>
    <t>2026-07-26T10:04:00+00:00</t>
  </si>
  <si>
    <t>professional_profiles</t>
  </si>
  <si>
    <t>SIM-PROFILE-01</t>
  </si>
  <si>
    <t>Product-focused professional with experience in discovery and delivery.</t>
  </si>
  <si>
    <t>["Product Discovery", "Agile", "Analytics"]</t>
  </si>
  <si>
    <t>[{"role": "Project Coordinator", "years": 2}]</t>
  </si>
  <si>
    <t>2026-08-25T10:01:00+00:00</t>
  </si>
  <si>
    <t>SIM-PROFILE-02</t>
  </si>
  <si>
    <t>2026-08-25T10:02:00+00:00</t>
  </si>
  <si>
    <t>SIM-PROFILE-03</t>
  </si>
  <si>
    <t>2026-08-25T10:03:00+00:00</t>
  </si>
  <si>
    <t>SIM-PROFILE-04</t>
  </si>
  <si>
    <t>SIM-PROFILE-05</t>
  </si>
  <si>
    <t>2026-08-25T10:05:00+00:00</t>
  </si>
  <si>
    <t>cvs</t>
  </si>
  <si>
    <t>SIM-CV-06</t>
  </si>
  <si>
    <t>{"summary": "Product and project experience", "skills": ["Agile", "Analytics"], "experience": [{"role": "Coordinator"}]}</t>
  </si>
  <si>
    <t>{"summary": true, "skills": true, "experience": true}</t>
  </si>
  <si>
    <t>2026-08-25T10:30:00+00:00</t>
  </si>
  <si>
    <t>jobs</t>
  </si>
  <si>
    <t>SIM-J001</t>
  </si>
  <si>
    <t>Collaborative product role covering discovery, prioritisation, analytics, stakeholder communication, experimentation, roadmap support, user research, backlog management and cross-functional delivery. Candidates should be comfortable working with evidence and communicating trade-offs across product, design and engineering teams.</t>
  </si>
  <si>
    <t>LinkedIn</t>
  </si>
  <si>
    <t>2026-06-01T08:00:00+00:00</t>
  </si>
  <si>
    <t>applications</t>
  </si>
  <si>
    <t>SIM-A001</t>
  </si>
  <si>
    <t>closed</t>
  </si>
  <si>
    <t>2026-06-01T12:00:00+00:00</t>
  </si>
  <si>
    <t>application_status_history</t>
  </si>
  <si>
    <t>SIM-H001-I</t>
  </si>
  <si>
    <t>applied</t>
  </si>
  <si>
    <t>interview</t>
  </si>
  <si>
    <t>2026-06-08T12:00:00+00:00</t>
  </si>
  <si>
    <t>SIM-H001-O</t>
  </si>
  <si>
    <t>offer</t>
  </si>
  <si>
    <t>2026-06-15T12:00:00+00:00</t>
  </si>
  <si>
    <t>application_outcomes</t>
  </si>
  <si>
    <t>SIM-O001</t>
  </si>
  <si>
    <t>offer_accepted</t>
  </si>
  <si>
    <t>2026-07-06T00:00:00+00:00</t>
  </si>
  <si>
    <t>SIM-J002</t>
  </si>
  <si>
    <t>InfoJobs</t>
  </si>
  <si>
    <t>2026-06-04T08:00:00+00:00</t>
  </si>
  <si>
    <t>SIM-A002</t>
  </si>
  <si>
    <t>2026-06-04T12:00:00+00:00</t>
  </si>
  <si>
    <t>SIM-H002-I</t>
  </si>
  <si>
    <t>2026-06-11T12:00:00+00:00</t>
  </si>
  <si>
    <t>SIM-J003</t>
  </si>
  <si>
    <t>Company Website</t>
  </si>
  <si>
    <t>2026-06-07T08:00:00+00:00</t>
  </si>
  <si>
    <t>SIM-A003</t>
  </si>
  <si>
    <t>2026-06-07T12:00:00+00:00</t>
  </si>
  <si>
    <t>SIM-H003-I</t>
  </si>
  <si>
    <t>2026-06-14T12:00:00+00:00</t>
  </si>
  <si>
    <t>SIM-J004</t>
  </si>
  <si>
    <t>Hitmarker</t>
  </si>
  <si>
    <t>2026-06-10T08:00:00+00:00</t>
  </si>
  <si>
    <t>SIM-A004</t>
  </si>
  <si>
    <t>2026-06-10T12:00:00+00:00</t>
  </si>
  <si>
    <t>SIM-H004-I</t>
  </si>
  <si>
    <t>2026-06-17T12:00:00+00:00</t>
  </si>
  <si>
    <t>SIM-J005</t>
  </si>
  <si>
    <t>2026-06-13T08:00:00+00:00</t>
  </si>
  <si>
    <t>SIM-A005</t>
  </si>
  <si>
    <t>rejected</t>
  </si>
  <si>
    <t>2026-06-13T12:00:00+00:00</t>
  </si>
  <si>
    <t>SIM-O005</t>
  </si>
  <si>
    <t>2026-06-25T00:00:00+00:00</t>
  </si>
  <si>
    <t>SIM-J006</t>
  </si>
  <si>
    <t>2026-06-16T08:00:00+00:00</t>
  </si>
  <si>
    <t>SIM-A006</t>
  </si>
  <si>
    <t>2026-06-16T12:00:00+00:00</t>
  </si>
  <si>
    <t>SIM-O006</t>
  </si>
  <si>
    <t>2026-06-28T00:00:00+00:00</t>
  </si>
  <si>
    <t>SIM-J007</t>
  </si>
  <si>
    <t>2026-06-19T08:00:00+00:00</t>
  </si>
  <si>
    <t>SIM-A007</t>
  </si>
  <si>
    <t>2026-06-19T12:00:00+00:00</t>
  </si>
  <si>
    <t>SIM-O007</t>
  </si>
  <si>
    <t>2026-07-01T00:00:00+00:00</t>
  </si>
  <si>
    <t>SIM-J008</t>
  </si>
  <si>
    <t>2026-06-22T08:00:00+00:00</t>
  </si>
  <si>
    <t>SIM-A008</t>
  </si>
  <si>
    <t>2026-06-22T12:00:00+00:00</t>
  </si>
  <si>
    <t>SIM-O008</t>
  </si>
  <si>
    <t>2026-07-04T00:00:00+00:00</t>
  </si>
  <si>
    <t>SIM-J009</t>
  </si>
  <si>
    <t>2026-06-25T08:00:00+00:00</t>
  </si>
  <si>
    <t>SIM-A009</t>
  </si>
  <si>
    <t>2026-06-25T12:00:00+00:00</t>
  </si>
  <si>
    <t>SIM-J010</t>
  </si>
  <si>
    <t>2026-06-28T08:00:00+00:00</t>
  </si>
  <si>
    <t>SIM-A010</t>
  </si>
  <si>
    <t>2026-06-28T12:00:00+00:00</t>
  </si>
  <si>
    <t>SIM-J011</t>
  </si>
  <si>
    <t>2026-07-01T08:00:00+00:00</t>
  </si>
  <si>
    <t>SIM-A011</t>
  </si>
  <si>
    <t>2026-07-01T12:00:00+00:00</t>
  </si>
  <si>
    <t>SIM-J012</t>
  </si>
  <si>
    <t>2026-07-04T08:00:00+00:00</t>
  </si>
  <si>
    <t>SIM-A012</t>
  </si>
  <si>
    <t>2026-07-04T12:00:00+00:00</t>
  </si>
  <si>
    <t>SIM-J013</t>
  </si>
  <si>
    <t>Short description.</t>
  </si>
  <si>
    <t>2026-07-07T08:00:00+00:00</t>
  </si>
  <si>
    <t>SIM-A013</t>
  </si>
  <si>
    <t>2026-07-07T12:00:00+00:00</t>
  </si>
  <si>
    <t>SIM-J014</t>
  </si>
  <si>
    <t>2026-07-10T08:00:00+00:00</t>
  </si>
  <si>
    <t>SIM-A014</t>
  </si>
  <si>
    <t>2026-07-10T12:00:00+00:00</t>
  </si>
  <si>
    <t>SIM-J015</t>
  </si>
  <si>
    <t>2026-07-13T08:00:00+00:00</t>
  </si>
  <si>
    <t>SIM-A015</t>
  </si>
  <si>
    <t>2026-07-13T12:00:00+00:00</t>
  </si>
  <si>
    <t>SIM-J016</t>
  </si>
  <si>
    <t>2026-07-16T08:00:00+00:00</t>
  </si>
  <si>
    <t>SIM-A016</t>
  </si>
  <si>
    <t>2026-07-16T12:00:00+00:00</t>
  </si>
  <si>
    <t>recommendations</t>
  </si>
  <si>
    <t>SIM-R001</t>
  </si>
  <si>
    <t>SIM-INS-01</t>
  </si>
  <si>
    <t>active</t>
  </si>
  <si>
    <t>2026-08-26T09:10:00+00:00</t>
  </si>
  <si>
    <t>2026-08-26T09:12:00+00:00</t>
  </si>
  <si>
    <t>2026-08-26T09:09:40+00:00</t>
  </si>
  <si>
    <t>recommendation_feedback</t>
  </si>
  <si>
    <t>SIM-F001</t>
  </si>
  <si>
    <t>helpful</t>
  </si>
  <si>
    <t>plan_to_try</t>
  </si>
  <si>
    <t>2026-08-26T09:13:00+00:00</t>
  </si>
  <si>
    <t>SIM-R002</t>
  </si>
  <si>
    <t>2026-08-26T09:11:00+00:00</t>
  </si>
  <si>
    <t>2026-08-26T09:10:40+00:00</t>
  </si>
  <si>
    <t>SIM-F002</t>
  </si>
  <si>
    <t>2026-08-26T09:14:00+00:00</t>
  </si>
  <si>
    <t>SIM-R003</t>
  </si>
  <si>
    <t>2026-08-26T09:11:40+00:00</t>
  </si>
  <si>
    <t>SIM-F003</t>
  </si>
  <si>
    <t>2026-08-26T09:15:00+00:00</t>
  </si>
  <si>
    <t>SIM-R004</t>
  </si>
  <si>
    <t>SIM-INS-02</t>
  </si>
  <si>
    <t>2026-08-26T09:20:00+00:00</t>
  </si>
  <si>
    <t>2026-08-26T09:22:00+00:00</t>
  </si>
  <si>
    <t>2026-08-26T09:19:40+00:00</t>
  </si>
  <si>
    <t>SIM-F004</t>
  </si>
  <si>
    <t>2026-08-26T09:23:00+00:00</t>
  </si>
  <si>
    <t>SIM-R005</t>
  </si>
  <si>
    <t>2026-08-26T09:21:00+00:00</t>
  </si>
  <si>
    <t>2026-08-26T09:20:40+00:00</t>
  </si>
  <si>
    <t>SIM-F005</t>
  </si>
  <si>
    <t>not_helpful</t>
  </si>
  <si>
    <t>not_relevant_now</t>
  </si>
  <si>
    <t>2026-08-26T09:24:00+00:00</t>
  </si>
  <si>
    <t>SIM-R006</t>
  </si>
  <si>
    <t>2026-08-26T09:21:40+00:00</t>
  </si>
  <si>
    <t>SIM-F006</t>
  </si>
  <si>
    <t>2026-08-26T09:25:00+00:00</t>
  </si>
  <si>
    <t>SIM-R007</t>
  </si>
  <si>
    <t>SIM-INS-03</t>
  </si>
  <si>
    <t>2026-08-26T09:30:00+00:00</t>
  </si>
  <si>
    <t>2026-08-26T09:32:00+00:00</t>
  </si>
  <si>
    <t>2026-08-26T09:29:40+00:00</t>
  </si>
  <si>
    <t>SIM-R008</t>
  </si>
  <si>
    <t>2026-08-26T09:31:00+00:00</t>
  </si>
  <si>
    <t>2026-08-26T09:33:00+00:00</t>
  </si>
  <si>
    <t>2026-08-26T09:30:40+00:00</t>
  </si>
  <si>
    <t>SIM-R009</t>
  </si>
  <si>
    <t>2026-08-26T09:34:00+00:00</t>
  </si>
  <si>
    <t>2026-08-26T09:31:40+00:00</t>
  </si>
  <si>
    <t>SIM-R010</t>
  </si>
  <si>
    <t>SIM-INS-04</t>
  </si>
  <si>
    <t>2026-08-26T09:40:00+00:00</t>
  </si>
  <si>
    <t>2026-08-26T09:42:00+00:00</t>
  </si>
  <si>
    <t>2026-08-26T09:39:40+00:00</t>
  </si>
  <si>
    <t>SIM-R011</t>
  </si>
  <si>
    <t>2026-08-26T09:41:00+00:00</t>
  </si>
  <si>
    <t>2026-08-26T09:40:40+00:00</t>
  </si>
  <si>
    <t>SIM-R012</t>
  </si>
  <si>
    <t>dismissed</t>
  </si>
  <si>
    <t>2026-08-26T09:43:00+00:00</t>
  </si>
  <si>
    <t>2026-08-26T09:41:40+00:00</t>
  </si>
  <si>
    <t>SIM-R013</t>
  </si>
  <si>
    <t>SIM-INS-05</t>
  </si>
  <si>
    <t>2026-08-26T09:50:00+00:00</t>
  </si>
  <si>
    <t>2026-08-26T09:49:40+00:00</t>
  </si>
  <si>
    <t>SIM-R014</t>
  </si>
  <si>
    <t>2026-08-26T09:51:00+00:00</t>
  </si>
  <si>
    <t>2026-08-26T09:52:00+00:00</t>
  </si>
  <si>
    <t>2026-08-26T09:50:40+00:00</t>
  </si>
  <si>
    <t>SIM-R015</t>
  </si>
  <si>
    <t>SIM-INS-06</t>
  </si>
  <si>
    <t>2026-08-26T10:00:00+00:00</t>
  </si>
  <si>
    <t>2026-08-26T09:59:40+00:00</t>
  </si>
  <si>
    <t>SIM-R016</t>
  </si>
  <si>
    <t>2026-08-26T10:01:00+00:00</t>
  </si>
  <si>
    <t>2026-08-26T10:02:00+00:00</t>
  </si>
  <si>
    <t>2026-08-26T10:00:40+00:00</t>
  </si>
  <si>
    <t>CareerPilot — MVP Monitoring Dashboard</t>
  </si>
  <si>
    <t>SIMULATED DEMO DATA</t>
  </si>
  <si>
    <t>Monitoring whether users reach CareerPilot's contextual decision-support experience and perceive it as useful.</t>
  </si>
  <si>
    <t>Primary Product KPIs</t>
  </si>
  <si>
    <t>Recommendation Usefulness Rate</t>
  </si>
  <si>
    <t>Recommendation Review Rate</t>
  </si>
  <si>
    <t>Recommendation Feedback Coverage</t>
  </si>
  <si>
    <t>Context Readiness Rate</t>
  </si>
  <si>
    <t>Recommendation Experience — Observed Counts</t>
  </si>
  <si>
    <t>Activated Users</t>
  </si>
  <si>
    <t>Context Ready Users</t>
  </si>
  <si>
    <t>Recommendations Shown</t>
  </si>
  <si>
    <t>Recommendations Reviewed</t>
  </si>
  <si>
    <t>Feedback Provided</t>
  </si>
  <si>
    <t>Helpful Recommendations</t>
  </si>
  <si>
    <t>Recommendation Feedback</t>
  </si>
  <si>
    <t>Recommendation State</t>
  </si>
  <si>
    <t>Job-Search Outcomes — Observational</t>
  </si>
  <si>
    <t>Recorded Applications</t>
  </si>
  <si>
    <t>Interview Rate</t>
  </si>
  <si>
    <t>Offer Rate</t>
  </si>
  <si>
    <t>Accepted Offer Duration</t>
  </si>
  <si>
    <t>All recorded applications</t>
  </si>
  <si>
    <t>Avg. days from first recorded application</t>
  </si>
  <si>
    <t>Jobs by Source</t>
  </si>
  <si>
    <t>Monitoring Narrative</t>
  </si>
  <si>
    <t>Review cadence — Check instrumentation after each validation session; interpret the KPI set after each validation round.
Good movement — More users become context ready, review recommendations, provide enough feedback, and rate recommendations as helpful.
Bad movement — Falling readiness or review, insufficient feedback coverage, or lower usefulness signals friction or weak recommendation value.
Decision — Strong usefulness with sufficient coverage supports Continue / Strengthen. High review but low usefulness triggers recommendation-quality/context iteration; low review with healthy readiness triggers presentation/relevance iteration; low readiness triggers setup/context simplification. Hiring outcomes remain observational.</t>
  </si>
  <si>
    <t>SIMULATED DEMO DATA — fallback data for presentation and dashboard testing. Replace the rows in Data_Source with equivalent real Lovable/Supabase exports when available; the dashboard formulas will update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</si>
</sst>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0E1729"/>
      <name val="Arial"/>
      <scheme val="minor"/>
    </font>
    <font>
      <b/>
      <sz val="15.0"/>
      <color rgb="FF64738B"/>
      <name val="Arial"/>
      <scheme val="minor"/>
    </font>
    <font/>
    <font>
      <sz val="15.0"/>
      <color theme="1"/>
      <name val="Arial"/>
      <scheme val="minor"/>
    </font>
    <font>
      <b/>
      <sz val="23.0"/>
      <color rgb="FF3B81F5"/>
      <name val="Arial"/>
      <scheme val="minor"/>
    </font>
    <font>
      <sz val="9.0"/>
      <color rgb="FF64738B"/>
      <name val="Arial"/>
      <scheme val="minor"/>
    </font>
    <font>
      <color rgb="FF0E1729"/>
      <name val="Arial"/>
    </font>
    <font>
      <b/>
      <sz val="11.0"/>
      <color theme="1"/>
      <name val="Arial"/>
      <scheme val="minor"/>
    </font>
    <font>
      <b/>
      <sz val="11.0"/>
      <color rgb="FF64738B"/>
      <name val="Arial"/>
      <scheme val="minor"/>
    </font>
    <font>
      <b/>
      <sz val="18.0"/>
      <color rgb="FF0E1729"/>
      <name val="Arial"/>
      <scheme val="minor"/>
    </font>
    <font>
      <color rgb="FFFFFFFF"/>
      <name val="Arial"/>
      <scheme val="minor"/>
    </font>
    <font>
      <b/>
      <sz val="19.0"/>
      <color rgb="FF64738B"/>
      <name val="Arial"/>
      <scheme val="minor"/>
    </font>
    <font>
      <b/>
      <sz val="22.0"/>
      <color rgb="FF0E1729"/>
      <name val="Arial"/>
      <scheme val="minor"/>
    </font>
    <font>
      <b/>
      <sz val="22.0"/>
      <color rgb="FF3B81F5"/>
      <name val="Arial"/>
      <scheme val="minor"/>
    </font>
    <font>
      <b/>
      <sz val="22.0"/>
      <color rgb="FF7C3AEC"/>
      <name val="Arial"/>
      <scheme val="minor"/>
    </font>
    <font>
      <sz val="10.0"/>
      <color rgb="FF0E172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D9EAF7"/>
        <bgColor rgb="FFD9EAF7"/>
      </patternFill>
    </fill>
    <fill>
      <patternFill patternType="solid">
        <fgColor rgb="FF3A82F6"/>
        <bgColor rgb="FF3A82F6"/>
      </patternFill>
    </fill>
    <fill>
      <patternFill patternType="solid">
        <fgColor rgb="FFEFF5FF"/>
        <bgColor rgb="FFEFF5FF"/>
      </patternFill>
    </fill>
    <fill>
      <patternFill patternType="solid">
        <fgColor rgb="FFFFFFFF"/>
        <bgColor rgb="FFFFFFFF"/>
      </patternFill>
    </fill>
    <fill>
      <patternFill patternType="solid">
        <fgColor rgb="FFF7FAFB"/>
        <bgColor rgb="FFF7FAFB"/>
      </patternFill>
    </fill>
    <fill>
      <patternFill patternType="solid">
        <fgColor rgb="FFF5F2FF"/>
        <bgColor rgb="FFF5F2FF"/>
      </patternFill>
    </fill>
  </fills>
  <borders count="12">
    <border/>
    <border>
      <left style="thin">
        <color rgb="FFE2E7F0"/>
      </left>
      <top style="thin">
        <color rgb="FFE2E7F0"/>
      </top>
      <bottom style="thin">
        <color rgb="FFE2E7F0"/>
      </bottom>
    </border>
    <border>
      <top style="thin">
        <color rgb="FFE2E7F0"/>
      </top>
      <bottom style="thin">
        <color rgb="FFE2E7F0"/>
      </bottom>
    </border>
    <border>
      <right style="thin">
        <color rgb="FFE2E7F0"/>
      </right>
      <top style="thin">
        <color rgb="FFE2E7F0"/>
      </top>
      <bottom style="thin">
        <color rgb="FFE2E7F0"/>
      </bottom>
    </border>
    <border>
      <left style="thin">
        <color rgb="FFE2E7F0"/>
      </left>
      <top style="thin">
        <color rgb="FFE2E7F0"/>
      </top>
    </border>
    <border>
      <top style="thin">
        <color rgb="FFE2E7F0"/>
      </top>
    </border>
    <border>
      <right style="thin">
        <color rgb="FFE2E7F0"/>
      </right>
      <top style="thin">
        <color rgb="FFE2E7F0"/>
      </top>
    </border>
    <border>
      <left style="thin">
        <color rgb="FFE2E7F0"/>
      </left>
    </border>
    <border>
      <right style="thin">
        <color rgb="FFE2E7F0"/>
      </right>
    </border>
    <border>
      <left style="thin">
        <color rgb="FFE2E7F0"/>
      </left>
      <bottom style="thin">
        <color rgb="FFE2E7F0"/>
      </bottom>
    </border>
    <border>
      <bottom style="thin">
        <color rgb="FFE2E7F0"/>
      </bottom>
    </border>
    <border>
      <right style="thin">
        <color rgb="FFE2E7F0"/>
      </right>
      <bottom style="thin">
        <color rgb="FFE2E7F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horizontal="left" readingOrder="0" vertical="center"/>
    </xf>
    <xf borderId="0" fillId="4" fontId="4" numFmtId="0" xfId="0" applyAlignment="1" applyFill="1" applyFont="1">
      <alignment horizontal="center" readingOrder="0" vertical="center"/>
    </xf>
    <xf borderId="0" fillId="3" fontId="0" numFmtId="0" xfId="0" applyAlignment="1" applyFill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vertical="center"/>
    </xf>
    <xf borderId="1" fillId="6" fontId="6" numFmtId="0" xfId="0" applyAlignment="1" applyBorder="1" applyFill="1" applyFont="1">
      <alignment horizontal="center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0" fillId="0" fontId="8" numFmtId="0" xfId="0" applyFont="1"/>
    <xf borderId="4" fillId="6" fontId="9" numFmtId="165" xfId="0" applyAlignment="1" applyBorder="1" applyFill="1" applyFont="1" applyNumberForma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" fillId="6" fontId="10" numFmtId="0" xfId="0" applyAlignment="1" applyBorder="1" applyFill="1" applyFont="1">
      <alignment horizontal="center" shrinkToFit="0" vertical="center" wrapText="1"/>
    </xf>
    <xf borderId="0" fillId="7" fontId="11" numFmtId="0" xfId="0" applyAlignment="1" applyFill="1" applyFont="1">
      <alignment vertical="center"/>
    </xf>
    <xf borderId="0" fillId="5" fontId="12" numFmtId="0" xfId="0" applyAlignment="1" applyFill="1" applyFont="1">
      <alignment horizontal="left" readingOrder="0" vertical="center"/>
    </xf>
    <xf borderId="1" fillId="6" fontId="13" numFmtId="0" xfId="0" applyAlignment="1" applyBorder="1" applyFill="1" applyFont="1">
      <alignment horizontal="center" readingOrder="0" shrinkToFit="0" vertical="center" wrapText="1"/>
    </xf>
    <xf borderId="4" fillId="6" fontId="14" numFmtId="1" xfId="0" applyAlignment="1" applyBorder="1" applyFill="1" applyFont="1" applyNumberFormat="1">
      <alignment horizontal="center" vertical="center"/>
    </xf>
    <xf borderId="0" fillId="7" fontId="12" numFmtId="0" xfId="0" applyAlignment="1" applyFill="1" applyFont="1">
      <alignment horizontal="left" readingOrder="0" vertical="center"/>
    </xf>
    <xf borderId="0" fillId="0" fontId="15" numFmtId="0" xfId="0" applyFont="1"/>
    <xf borderId="1" fillId="6" fontId="16" numFmtId="0" xfId="0" applyAlignment="1" applyBorder="1" applyFill="1" applyFont="1">
      <alignment horizontal="center" readingOrder="0" shrinkToFit="0" vertical="center" wrapText="1"/>
    </xf>
    <xf borderId="1" fillId="6" fontId="16" numFmtId="0" xfId="0" applyAlignment="1" applyBorder="1" applyFill="1" applyFont="1">
      <alignment horizontal="center" readingOrder="0" vertical="center"/>
    </xf>
    <xf borderId="4" fillId="6" fontId="17" numFmtId="1" xfId="0" applyAlignment="1" applyBorder="1" applyFill="1" applyFont="1" applyNumberFormat="1">
      <alignment horizontal="center" vertical="center"/>
    </xf>
    <xf borderId="4" fillId="6" fontId="18" numFmtId="165" xfId="0" applyAlignment="1" applyBorder="1" applyFill="1" applyFont="1" applyNumberFormat="1">
      <alignment horizontal="center" vertical="center"/>
    </xf>
    <xf borderId="4" fillId="6" fontId="19" numFmtId="1" xfId="0" applyAlignment="1" applyBorder="1" applyFill="1" applyFont="1" applyNumberFormat="1">
      <alignment horizontal="center" vertical="center"/>
    </xf>
    <xf borderId="1" fillId="6" fontId="10" numFmtId="0" xfId="0" applyAlignment="1" applyBorder="1" applyFill="1" applyFont="1">
      <alignment horizontal="center" readingOrder="0" shrinkToFit="0" vertical="center" wrapText="1"/>
    </xf>
    <xf borderId="0" fillId="7" fontId="12" numFmtId="0" xfId="0" applyAlignment="1" applyFill="1" applyFont="1">
      <alignment readingOrder="0" vertical="center"/>
    </xf>
    <xf borderId="4" fillId="5" fontId="20" numFmtId="0" xfId="0" applyAlignment="1" applyBorder="1" applyFill="1" applyFont="1">
      <alignment readingOrder="0" shrinkToFit="0" vertical="top" wrapText="1"/>
    </xf>
    <xf borderId="0" fillId="0" fontId="15" numFmtId="0" xfId="0" applyAlignment="1" applyFont="1">
      <alignment readingOrder="0"/>
    </xf>
    <xf borderId="4" fillId="8" fontId="20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Feedback ratings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Dashboard!$Q$41:$Q$42</c:f>
            </c:strRef>
          </c:cat>
          <c:val>
            <c:numRef>
              <c:f>Dashboard!$R$41:$R$42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Recommendation states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Dashboard!$Q$46:$Q$47</c:f>
            </c:strRef>
          </c:cat>
          <c:val>
            <c:numRef>
              <c:f>Dashboard!$R$46:$R$47</c:f>
              <c:numCache/>
            </c:numRef>
          </c:val>
        </c:ser>
        <c:axId val="2068483867"/>
        <c:axId val="616342081"/>
      </c:barChart>
      <c:catAx>
        <c:axId val="20684838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342081"/>
      </c:catAx>
      <c:valAx>
        <c:axId val="6163420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Recommendations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483867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Recorded jobs by 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Dashboard!$Q$51:$Q$54</c:f>
            </c:strRef>
          </c:cat>
          <c:val>
            <c:numRef>
              <c:f>Dashboard!$R$51:$R$54</c:f>
              <c:numCache/>
            </c:numRef>
          </c:val>
        </c:ser>
        <c:axId val="974506730"/>
        <c:axId val="960643326"/>
      </c:barChart>
      <c:catAx>
        <c:axId val="9745067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643326"/>
      </c:catAx>
      <c:valAx>
        <c:axId val="9606433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506730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17</xdr:row>
      <xdr:rowOff>38100</xdr:rowOff>
    </xdr:from>
    <xdr:ext cx="6191250" cy="2667000"/>
    <xdr:graphicFrame>
      <xdr:nvGraphicFramePr>
        <xdr:cNvPr id="1" name="Chart 1" title="Feedback rating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17</xdr:row>
      <xdr:rowOff>38100</xdr:rowOff>
    </xdr:from>
    <xdr:ext cx="6191250" cy="2667000"/>
    <xdr:graphicFrame>
      <xdr:nvGraphicFramePr>
        <xdr:cNvPr id="2" name="Chart 2" title="Recommendation stat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</xdr:colOff>
      <xdr:row>39</xdr:row>
      <xdr:rowOff>38100</xdr:rowOff>
    </xdr:from>
    <xdr:ext cx="6191250" cy="2857500"/>
    <xdr:graphicFrame>
      <xdr:nvGraphicFramePr>
        <xdr:cNvPr id="3" name="Chart 3" title="Recorded jobs by sour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3.75"/>
    <col customWidth="1" min="3" max="3" width="7.13"/>
    <col customWidth="1" min="4" max="4" width="12.0"/>
    <col customWidth="1" min="5" max="5" width="14.75"/>
    <col customWidth="1" min="6" max="6" width="16.88"/>
    <col customWidth="1" min="7" max="7" width="12.0"/>
    <col customWidth="1" min="8" max="9" width="12.5"/>
    <col customWidth="1" min="10" max="10" width="10.0"/>
    <col customWidth="1" min="11" max="11" width="12.0"/>
    <col customWidth="1" min="12" max="12" width="12.63"/>
    <col customWidth="1" min="13" max="13" width="12.38"/>
    <col customWidth="1" min="14" max="14" width="15.88"/>
    <col customWidth="1" min="15" max="15" width="16.5"/>
    <col customWidth="1" min="16" max="16" width="48.25"/>
    <col customWidth="1" min="17" max="17" width="12.0"/>
    <col customWidth="1" min="18" max="18" width="11.63"/>
    <col customWidth="1" min="19" max="19" width="12.5"/>
    <col customWidth="1" min="20" max="2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>
      <c r="A2" s="3" t="s">
        <v>33</v>
      </c>
      <c r="B2" s="3" t="s">
        <v>34</v>
      </c>
      <c r="C2" s="4"/>
      <c r="D2" s="3" t="s">
        <v>35</v>
      </c>
      <c r="E2" s="3" t="s">
        <v>36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AE2" s="3" t="s">
        <v>37</v>
      </c>
      <c r="AF2" s="3" t="s">
        <v>36</v>
      </c>
      <c r="AG2" s="3">
        <v>1.0</v>
      </c>
    </row>
    <row r="3">
      <c r="A3" s="3" t="s">
        <v>33</v>
      </c>
      <c r="B3" s="3" t="s">
        <v>38</v>
      </c>
      <c r="C3" s="4"/>
      <c r="D3" s="3" t="s">
        <v>39</v>
      </c>
      <c r="E3" s="3" t="s">
        <v>40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AE3" s="3" t="s">
        <v>41</v>
      </c>
      <c r="AF3" s="3" t="s">
        <v>40</v>
      </c>
      <c r="AG3" s="3">
        <v>1.0</v>
      </c>
    </row>
    <row r="4">
      <c r="A4" s="3" t="s">
        <v>33</v>
      </c>
      <c r="B4" s="3" t="s">
        <v>42</v>
      </c>
      <c r="C4" s="4"/>
      <c r="D4" s="3" t="s">
        <v>43</v>
      </c>
      <c r="E4" s="3" t="s">
        <v>44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  <c r="AE4" s="3" t="s">
        <v>45</v>
      </c>
      <c r="AF4" s="3" t="s">
        <v>44</v>
      </c>
      <c r="AG4" s="3">
        <v>1.0</v>
      </c>
    </row>
    <row r="5">
      <c r="A5" s="3" t="s">
        <v>33</v>
      </c>
      <c r="B5" s="3" t="s">
        <v>46</v>
      </c>
      <c r="C5" s="4"/>
      <c r="D5" s="3" t="s">
        <v>47</v>
      </c>
      <c r="E5" s="3" t="s">
        <v>48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  <c r="AE5" s="3" t="s">
        <v>49</v>
      </c>
      <c r="AF5" s="3" t="s">
        <v>48</v>
      </c>
      <c r="AG5" s="3">
        <v>1.0</v>
      </c>
    </row>
    <row r="6">
      <c r="A6" s="3" t="s">
        <v>33</v>
      </c>
      <c r="B6" s="3" t="s">
        <v>50</v>
      </c>
      <c r="C6" s="4"/>
      <c r="D6" s="3" t="s">
        <v>51</v>
      </c>
      <c r="E6" s="3" t="s">
        <v>52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  <c r="AE6" s="3" t="s">
        <v>53</v>
      </c>
      <c r="AF6" s="3" t="s">
        <v>52</v>
      </c>
      <c r="AG6" s="3">
        <v>1.0</v>
      </c>
    </row>
    <row r="7">
      <c r="A7" s="3" t="s">
        <v>33</v>
      </c>
      <c r="B7" s="3" t="s">
        <v>54</v>
      </c>
      <c r="C7" s="4"/>
      <c r="D7" s="3" t="s">
        <v>55</v>
      </c>
      <c r="E7" s="3" t="s">
        <v>56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5"/>
      <c r="S7" s="5"/>
      <c r="T7" s="5"/>
      <c r="AE7" s="3" t="s">
        <v>57</v>
      </c>
      <c r="AF7" s="3" t="s">
        <v>56</v>
      </c>
      <c r="AG7" s="3">
        <v>1.0</v>
      </c>
    </row>
    <row r="8">
      <c r="A8" s="3" t="s">
        <v>33</v>
      </c>
      <c r="B8" s="3" t="s">
        <v>58</v>
      </c>
      <c r="C8" s="4"/>
      <c r="D8" s="3" t="s">
        <v>59</v>
      </c>
      <c r="E8" s="3" t="s">
        <v>60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5"/>
      <c r="S8" s="5"/>
      <c r="T8" s="5"/>
      <c r="AE8" s="3" t="s">
        <v>61</v>
      </c>
      <c r="AF8" s="3" t="s">
        <v>60</v>
      </c>
      <c r="AG8" s="3">
        <v>0.0</v>
      </c>
    </row>
    <row r="9">
      <c r="A9" s="3" t="s">
        <v>33</v>
      </c>
      <c r="B9" s="3" t="s">
        <v>62</v>
      </c>
      <c r="C9" s="4"/>
      <c r="D9" s="3" t="s">
        <v>63</v>
      </c>
      <c r="E9" s="3" t="s">
        <v>64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5"/>
      <c r="S9" s="5"/>
      <c r="T9" s="5"/>
      <c r="AE9" s="3" t="s">
        <v>65</v>
      </c>
      <c r="AF9" s="3" t="s">
        <v>64</v>
      </c>
      <c r="AG9" s="3">
        <v>0.0</v>
      </c>
    </row>
    <row r="10">
      <c r="A10" s="3" t="s">
        <v>66</v>
      </c>
      <c r="B10" s="3" t="s">
        <v>67</v>
      </c>
      <c r="C10" s="3" t="s">
        <v>34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3" t="s">
        <v>68</v>
      </c>
      <c r="U10" s="3" t="s">
        <v>69</v>
      </c>
      <c r="V10" s="3" t="s">
        <v>70</v>
      </c>
      <c r="AE10" s="3" t="s">
        <v>71</v>
      </c>
      <c r="AF10" s="3" t="s">
        <v>71</v>
      </c>
    </row>
    <row r="11">
      <c r="A11" s="3" t="s">
        <v>66</v>
      </c>
      <c r="B11" s="3" t="s">
        <v>72</v>
      </c>
      <c r="C11" s="3" t="s">
        <v>38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  <c r="T11" s="3" t="s">
        <v>68</v>
      </c>
      <c r="U11" s="3" t="s">
        <v>69</v>
      </c>
      <c r="V11" s="3" t="s">
        <v>70</v>
      </c>
      <c r="AE11" s="3" t="s">
        <v>73</v>
      </c>
      <c r="AF11" s="3" t="s">
        <v>73</v>
      </c>
    </row>
    <row r="12">
      <c r="A12" s="3" t="s">
        <v>66</v>
      </c>
      <c r="B12" s="3" t="s">
        <v>74</v>
      </c>
      <c r="C12" s="3" t="s">
        <v>42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  <c r="T12" s="3" t="s">
        <v>68</v>
      </c>
      <c r="U12" s="3" t="s">
        <v>69</v>
      </c>
      <c r="V12" s="3" t="s">
        <v>70</v>
      </c>
      <c r="AE12" s="3" t="s">
        <v>75</v>
      </c>
      <c r="AF12" s="3" t="s">
        <v>75</v>
      </c>
    </row>
    <row r="13">
      <c r="A13" s="3" t="s">
        <v>66</v>
      </c>
      <c r="B13" s="3" t="s">
        <v>76</v>
      </c>
      <c r="C13" s="3" t="s">
        <v>46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  <c r="T13" s="3" t="s">
        <v>68</v>
      </c>
      <c r="U13" s="3" t="s">
        <v>69</v>
      </c>
      <c r="V13" s="3" t="s">
        <v>70</v>
      </c>
      <c r="AE13" s="3" t="s">
        <v>64</v>
      </c>
      <c r="AF13" s="3" t="s">
        <v>64</v>
      </c>
    </row>
    <row r="14">
      <c r="A14" s="3" t="s">
        <v>66</v>
      </c>
      <c r="B14" s="3" t="s">
        <v>77</v>
      </c>
      <c r="C14" s="3" t="s">
        <v>50</v>
      </c>
      <c r="T14" s="3" t="s">
        <v>68</v>
      </c>
      <c r="U14" s="3" t="s">
        <v>69</v>
      </c>
      <c r="V14" s="3" t="s">
        <v>70</v>
      </c>
      <c r="AE14" s="3" t="s">
        <v>78</v>
      </c>
      <c r="AF14" s="3" t="s">
        <v>78</v>
      </c>
    </row>
    <row r="15">
      <c r="A15" s="3" t="s">
        <v>79</v>
      </c>
      <c r="B15" s="3" t="s">
        <v>80</v>
      </c>
      <c r="C15" s="3" t="s">
        <v>54</v>
      </c>
      <c r="P15" s="3" t="s">
        <v>81</v>
      </c>
      <c r="Q15" s="3" t="s">
        <v>82</v>
      </c>
      <c r="AF15" s="3" t="s">
        <v>83</v>
      </c>
      <c r="AG15" s="3" t="s">
        <v>83</v>
      </c>
    </row>
    <row r="16">
      <c r="A16" s="3" t="s">
        <v>84</v>
      </c>
      <c r="B16" s="3" t="s">
        <v>85</v>
      </c>
      <c r="C16" s="3" t="s">
        <v>34</v>
      </c>
      <c r="R16" s="3" t="s">
        <v>86</v>
      </c>
      <c r="S16" s="3" t="s">
        <v>87</v>
      </c>
      <c r="AF16" s="3" t="s">
        <v>88</v>
      </c>
      <c r="AG16" s="3" t="s">
        <v>88</v>
      </c>
    </row>
    <row r="17">
      <c r="A17" s="3" t="s">
        <v>89</v>
      </c>
      <c r="B17" s="3" t="s">
        <v>90</v>
      </c>
      <c r="C17" s="3" t="s">
        <v>34</v>
      </c>
      <c r="L17" s="3" t="s">
        <v>85</v>
      </c>
      <c r="N17" s="6">
        <v>46174.0</v>
      </c>
      <c r="O17" s="3" t="s">
        <v>91</v>
      </c>
      <c r="AF17" s="3" t="s">
        <v>92</v>
      </c>
      <c r="AG17" s="3" t="s">
        <v>92</v>
      </c>
    </row>
    <row r="18">
      <c r="A18" s="3" t="s">
        <v>93</v>
      </c>
      <c r="B18" s="3" t="s">
        <v>94</v>
      </c>
      <c r="C18" s="3" t="s">
        <v>34</v>
      </c>
      <c r="F18" s="3" t="s">
        <v>90</v>
      </c>
      <c r="I18" s="3" t="s">
        <v>95</v>
      </c>
      <c r="J18" s="3" t="s">
        <v>96</v>
      </c>
      <c r="K18" s="3" t="s">
        <v>97</v>
      </c>
    </row>
    <row r="19">
      <c r="A19" s="3" t="s">
        <v>93</v>
      </c>
      <c r="B19" s="3" t="s">
        <v>98</v>
      </c>
      <c r="C19" s="3" t="s">
        <v>34</v>
      </c>
      <c r="F19" s="3" t="s">
        <v>90</v>
      </c>
      <c r="I19" s="3" t="s">
        <v>96</v>
      </c>
      <c r="J19" s="3" t="s">
        <v>99</v>
      </c>
      <c r="K19" s="3" t="s">
        <v>100</v>
      </c>
    </row>
    <row r="20">
      <c r="A20" s="3" t="s">
        <v>101</v>
      </c>
      <c r="B20" s="3" t="s">
        <v>102</v>
      </c>
      <c r="C20" s="3" t="s">
        <v>34</v>
      </c>
      <c r="F20" s="3" t="s">
        <v>90</v>
      </c>
      <c r="G20" s="3" t="s">
        <v>103</v>
      </c>
      <c r="H20" s="6">
        <v>46209.0</v>
      </c>
      <c r="AE20" s="3" t="s">
        <v>104</v>
      </c>
      <c r="AF20" s="3" t="s">
        <v>104</v>
      </c>
    </row>
    <row r="21">
      <c r="A21" s="3" t="s">
        <v>84</v>
      </c>
      <c r="B21" s="3" t="s">
        <v>105</v>
      </c>
      <c r="C21" s="3" t="s">
        <v>34</v>
      </c>
      <c r="R21" s="3" t="s">
        <v>86</v>
      </c>
      <c r="S21" s="3" t="s">
        <v>106</v>
      </c>
      <c r="AF21" s="3" t="s">
        <v>107</v>
      </c>
      <c r="AG21" s="3" t="s">
        <v>107</v>
      </c>
    </row>
    <row r="22">
      <c r="A22" s="3" t="s">
        <v>89</v>
      </c>
      <c r="B22" s="3" t="s">
        <v>108</v>
      </c>
      <c r="C22" s="3" t="s">
        <v>34</v>
      </c>
      <c r="L22" s="3" t="s">
        <v>105</v>
      </c>
      <c r="N22" s="6">
        <v>46177.0</v>
      </c>
      <c r="O22" s="3" t="s">
        <v>96</v>
      </c>
      <c r="AF22" s="3" t="s">
        <v>109</v>
      </c>
      <c r="AG22" s="3" t="s">
        <v>109</v>
      </c>
    </row>
    <row r="23">
      <c r="A23" s="3" t="s">
        <v>93</v>
      </c>
      <c r="B23" s="3" t="s">
        <v>110</v>
      </c>
      <c r="C23" s="3" t="s">
        <v>34</v>
      </c>
      <c r="F23" s="3" t="s">
        <v>108</v>
      </c>
      <c r="I23" s="3" t="s">
        <v>95</v>
      </c>
      <c r="J23" s="3" t="s">
        <v>96</v>
      </c>
      <c r="K23" s="3" t="s">
        <v>111</v>
      </c>
    </row>
    <row r="24">
      <c r="A24" s="3" t="s">
        <v>84</v>
      </c>
      <c r="B24" s="3" t="s">
        <v>112</v>
      </c>
      <c r="C24" s="3" t="s">
        <v>38</v>
      </c>
      <c r="R24" s="3" t="s">
        <v>86</v>
      </c>
      <c r="S24" s="3" t="s">
        <v>113</v>
      </c>
      <c r="AF24" s="3" t="s">
        <v>114</v>
      </c>
      <c r="AG24" s="3" t="s">
        <v>114</v>
      </c>
    </row>
    <row r="25">
      <c r="A25" s="3" t="s">
        <v>89</v>
      </c>
      <c r="B25" s="3" t="s">
        <v>115</v>
      </c>
      <c r="C25" s="3" t="s">
        <v>38</v>
      </c>
      <c r="L25" s="3" t="s">
        <v>112</v>
      </c>
      <c r="N25" s="6">
        <v>46180.0</v>
      </c>
      <c r="O25" s="3" t="s">
        <v>96</v>
      </c>
      <c r="AF25" s="3" t="s">
        <v>116</v>
      </c>
      <c r="AG25" s="3" t="s">
        <v>116</v>
      </c>
    </row>
    <row r="26">
      <c r="A26" s="3" t="s">
        <v>93</v>
      </c>
      <c r="B26" s="3" t="s">
        <v>117</v>
      </c>
      <c r="C26" s="3" t="s">
        <v>38</v>
      </c>
      <c r="F26" s="3" t="s">
        <v>115</v>
      </c>
      <c r="I26" s="3" t="s">
        <v>95</v>
      </c>
      <c r="J26" s="3" t="s">
        <v>96</v>
      </c>
      <c r="K26" s="3" t="s">
        <v>118</v>
      </c>
    </row>
    <row r="27">
      <c r="A27" s="3" t="s">
        <v>84</v>
      </c>
      <c r="B27" s="3" t="s">
        <v>119</v>
      </c>
      <c r="C27" s="3" t="s">
        <v>38</v>
      </c>
      <c r="R27" s="3" t="s">
        <v>86</v>
      </c>
      <c r="S27" s="3" t="s">
        <v>120</v>
      </c>
      <c r="AF27" s="3" t="s">
        <v>121</v>
      </c>
      <c r="AG27" s="3" t="s">
        <v>121</v>
      </c>
    </row>
    <row r="28">
      <c r="A28" s="3" t="s">
        <v>89</v>
      </c>
      <c r="B28" s="3" t="s">
        <v>122</v>
      </c>
      <c r="C28" s="3" t="s">
        <v>38</v>
      </c>
      <c r="L28" s="3" t="s">
        <v>119</v>
      </c>
      <c r="N28" s="6">
        <v>46183.0</v>
      </c>
      <c r="O28" s="3" t="s">
        <v>96</v>
      </c>
      <c r="AF28" s="3" t="s">
        <v>123</v>
      </c>
      <c r="AG28" s="3" t="s">
        <v>123</v>
      </c>
    </row>
    <row r="29">
      <c r="A29" s="3" t="s">
        <v>93</v>
      </c>
      <c r="B29" s="3" t="s">
        <v>124</v>
      </c>
      <c r="C29" s="3" t="s">
        <v>38</v>
      </c>
      <c r="F29" s="3" t="s">
        <v>122</v>
      </c>
      <c r="I29" s="3" t="s">
        <v>95</v>
      </c>
      <c r="J29" s="3" t="s">
        <v>96</v>
      </c>
      <c r="K29" s="3" t="s">
        <v>125</v>
      </c>
    </row>
    <row r="30">
      <c r="A30" s="3" t="s">
        <v>84</v>
      </c>
      <c r="B30" s="3" t="s">
        <v>126</v>
      </c>
      <c r="C30" s="3" t="s">
        <v>42</v>
      </c>
      <c r="R30" s="3" t="s">
        <v>86</v>
      </c>
      <c r="S30" s="3" t="s">
        <v>87</v>
      </c>
      <c r="AF30" s="3" t="s">
        <v>127</v>
      </c>
      <c r="AG30" s="3" t="s">
        <v>127</v>
      </c>
    </row>
    <row r="31">
      <c r="A31" s="3" t="s">
        <v>89</v>
      </c>
      <c r="B31" s="3" t="s">
        <v>128</v>
      </c>
      <c r="C31" s="3" t="s">
        <v>42</v>
      </c>
      <c r="L31" s="3" t="s">
        <v>126</v>
      </c>
      <c r="N31" s="6">
        <v>46186.0</v>
      </c>
      <c r="O31" s="3" t="s">
        <v>129</v>
      </c>
      <c r="AF31" s="3" t="s">
        <v>130</v>
      </c>
      <c r="AG31" s="3" t="s">
        <v>130</v>
      </c>
    </row>
    <row r="32">
      <c r="A32" s="3" t="s">
        <v>101</v>
      </c>
      <c r="B32" s="3" t="s">
        <v>131</v>
      </c>
      <c r="C32" s="3" t="s">
        <v>42</v>
      </c>
      <c r="F32" s="3" t="s">
        <v>128</v>
      </c>
      <c r="G32" s="3" t="s">
        <v>129</v>
      </c>
      <c r="H32" s="6">
        <v>46198.0</v>
      </c>
      <c r="AE32" s="3" t="s">
        <v>132</v>
      </c>
      <c r="AF32" s="3" t="s">
        <v>132</v>
      </c>
    </row>
    <row r="33">
      <c r="A33" s="3" t="s">
        <v>84</v>
      </c>
      <c r="B33" s="3" t="s">
        <v>133</v>
      </c>
      <c r="C33" s="3" t="s">
        <v>42</v>
      </c>
      <c r="R33" s="3" t="s">
        <v>86</v>
      </c>
      <c r="S33" s="3" t="s">
        <v>106</v>
      </c>
      <c r="AF33" s="3" t="s">
        <v>134</v>
      </c>
      <c r="AG33" s="3" t="s">
        <v>134</v>
      </c>
    </row>
    <row r="34">
      <c r="A34" s="3" t="s">
        <v>89</v>
      </c>
      <c r="B34" s="3" t="s">
        <v>135</v>
      </c>
      <c r="C34" s="3" t="s">
        <v>42</v>
      </c>
      <c r="L34" s="3" t="s">
        <v>133</v>
      </c>
      <c r="N34" s="6">
        <v>46189.0</v>
      </c>
      <c r="O34" s="3" t="s">
        <v>129</v>
      </c>
      <c r="AF34" s="3" t="s">
        <v>136</v>
      </c>
      <c r="AG34" s="3" t="s">
        <v>136</v>
      </c>
    </row>
    <row r="35">
      <c r="A35" s="3" t="s">
        <v>101</v>
      </c>
      <c r="B35" s="3" t="s">
        <v>137</v>
      </c>
      <c r="C35" s="3" t="s">
        <v>42</v>
      </c>
      <c r="F35" s="3" t="s">
        <v>135</v>
      </c>
      <c r="G35" s="3" t="s">
        <v>129</v>
      </c>
      <c r="H35" s="6">
        <v>46201.0</v>
      </c>
      <c r="AE35" s="3" t="s">
        <v>138</v>
      </c>
      <c r="AF35" s="3" t="s">
        <v>138</v>
      </c>
    </row>
    <row r="36">
      <c r="A36" s="3" t="s">
        <v>84</v>
      </c>
      <c r="B36" s="3" t="s">
        <v>139</v>
      </c>
      <c r="C36" s="3" t="s">
        <v>46</v>
      </c>
      <c r="R36" s="3" t="s">
        <v>86</v>
      </c>
      <c r="S36" s="3" t="s">
        <v>113</v>
      </c>
      <c r="AF36" s="3" t="s">
        <v>140</v>
      </c>
      <c r="AG36" s="3" t="s">
        <v>140</v>
      </c>
    </row>
    <row r="37">
      <c r="A37" s="3" t="s">
        <v>89</v>
      </c>
      <c r="B37" s="3" t="s">
        <v>141</v>
      </c>
      <c r="C37" s="3" t="s">
        <v>46</v>
      </c>
      <c r="L37" s="3" t="s">
        <v>139</v>
      </c>
      <c r="N37" s="6">
        <v>46192.0</v>
      </c>
      <c r="O37" s="3" t="s">
        <v>129</v>
      </c>
      <c r="AF37" s="3" t="s">
        <v>142</v>
      </c>
      <c r="AG37" s="3" t="s">
        <v>142</v>
      </c>
    </row>
    <row r="38">
      <c r="A38" s="3" t="s">
        <v>101</v>
      </c>
      <c r="B38" s="3" t="s">
        <v>143</v>
      </c>
      <c r="C38" s="3" t="s">
        <v>46</v>
      </c>
      <c r="F38" s="3" t="s">
        <v>141</v>
      </c>
      <c r="G38" s="3" t="s">
        <v>129</v>
      </c>
      <c r="H38" s="6">
        <v>46204.0</v>
      </c>
      <c r="AE38" s="3" t="s">
        <v>144</v>
      </c>
      <c r="AF38" s="3" t="s">
        <v>144</v>
      </c>
    </row>
    <row r="39">
      <c r="A39" s="3" t="s">
        <v>84</v>
      </c>
      <c r="B39" s="3" t="s">
        <v>145</v>
      </c>
      <c r="C39" s="3" t="s">
        <v>46</v>
      </c>
      <c r="R39" s="3" t="s">
        <v>86</v>
      </c>
      <c r="S39" s="3" t="s">
        <v>120</v>
      </c>
      <c r="AF39" s="3" t="s">
        <v>146</v>
      </c>
      <c r="AG39" s="3" t="s">
        <v>146</v>
      </c>
    </row>
    <row r="40">
      <c r="A40" s="3" t="s">
        <v>89</v>
      </c>
      <c r="B40" s="3" t="s">
        <v>147</v>
      </c>
      <c r="C40" s="3" t="s">
        <v>46</v>
      </c>
      <c r="L40" s="3" t="s">
        <v>145</v>
      </c>
      <c r="N40" s="6">
        <v>46195.0</v>
      </c>
      <c r="O40" s="3" t="s">
        <v>129</v>
      </c>
      <c r="AF40" s="3" t="s">
        <v>148</v>
      </c>
      <c r="AG40" s="3" t="s">
        <v>148</v>
      </c>
    </row>
    <row r="41">
      <c r="A41" s="3" t="s">
        <v>101</v>
      </c>
      <c r="B41" s="3" t="s">
        <v>149</v>
      </c>
      <c r="C41" s="3" t="s">
        <v>46</v>
      </c>
      <c r="F41" s="3" t="s">
        <v>147</v>
      </c>
      <c r="G41" s="3" t="s">
        <v>129</v>
      </c>
      <c r="H41" s="6">
        <v>46207.0</v>
      </c>
      <c r="AE41" s="3" t="s">
        <v>150</v>
      </c>
      <c r="AF41" s="3" t="s">
        <v>150</v>
      </c>
    </row>
    <row r="42">
      <c r="A42" s="3" t="s">
        <v>84</v>
      </c>
      <c r="B42" s="3" t="s">
        <v>151</v>
      </c>
      <c r="C42" s="3" t="s">
        <v>50</v>
      </c>
      <c r="R42" s="3" t="s">
        <v>86</v>
      </c>
      <c r="S42" s="3" t="s">
        <v>87</v>
      </c>
      <c r="AF42" s="3" t="s">
        <v>152</v>
      </c>
      <c r="AG42" s="3" t="s">
        <v>152</v>
      </c>
    </row>
    <row r="43">
      <c r="A43" s="3" t="s">
        <v>89</v>
      </c>
      <c r="B43" s="3" t="s">
        <v>153</v>
      </c>
      <c r="C43" s="3" t="s">
        <v>50</v>
      </c>
      <c r="L43" s="3" t="s">
        <v>151</v>
      </c>
      <c r="N43" s="6">
        <v>46198.0</v>
      </c>
      <c r="O43" s="3" t="s">
        <v>95</v>
      </c>
      <c r="AF43" s="3" t="s">
        <v>154</v>
      </c>
      <c r="AG43" s="3" t="s">
        <v>154</v>
      </c>
    </row>
    <row r="44">
      <c r="A44" s="3" t="s">
        <v>84</v>
      </c>
      <c r="B44" s="3" t="s">
        <v>155</v>
      </c>
      <c r="C44" s="3" t="s">
        <v>50</v>
      </c>
      <c r="R44" s="3" t="s">
        <v>86</v>
      </c>
      <c r="S44" s="3" t="s">
        <v>106</v>
      </c>
      <c r="AF44" s="3" t="s">
        <v>156</v>
      </c>
      <c r="AG44" s="3" t="s">
        <v>156</v>
      </c>
    </row>
    <row r="45">
      <c r="A45" s="3" t="s">
        <v>89</v>
      </c>
      <c r="B45" s="3" t="s">
        <v>157</v>
      </c>
      <c r="C45" s="3" t="s">
        <v>50</v>
      </c>
      <c r="L45" s="3" t="s">
        <v>155</v>
      </c>
      <c r="N45" s="6">
        <v>46201.0</v>
      </c>
      <c r="O45" s="3" t="s">
        <v>95</v>
      </c>
      <c r="AF45" s="3" t="s">
        <v>158</v>
      </c>
      <c r="AG45" s="3" t="s">
        <v>158</v>
      </c>
    </row>
    <row r="46">
      <c r="A46" s="3" t="s">
        <v>84</v>
      </c>
      <c r="B46" s="3" t="s">
        <v>159</v>
      </c>
      <c r="C46" s="3" t="s">
        <v>54</v>
      </c>
      <c r="R46" s="3" t="s">
        <v>86</v>
      </c>
      <c r="S46" s="3" t="s">
        <v>113</v>
      </c>
      <c r="AF46" s="3" t="s">
        <v>160</v>
      </c>
      <c r="AG46" s="3" t="s">
        <v>160</v>
      </c>
    </row>
    <row r="47">
      <c r="A47" s="3" t="s">
        <v>89</v>
      </c>
      <c r="B47" s="3" t="s">
        <v>161</v>
      </c>
      <c r="C47" s="3" t="s">
        <v>54</v>
      </c>
      <c r="L47" s="3" t="s">
        <v>159</v>
      </c>
      <c r="N47" s="6">
        <v>46204.0</v>
      </c>
      <c r="O47" s="3" t="s">
        <v>95</v>
      </c>
      <c r="AF47" s="3" t="s">
        <v>162</v>
      </c>
      <c r="AG47" s="3" t="s">
        <v>162</v>
      </c>
    </row>
    <row r="48">
      <c r="A48" s="3" t="s">
        <v>84</v>
      </c>
      <c r="B48" s="3" t="s">
        <v>163</v>
      </c>
      <c r="C48" s="3" t="s">
        <v>54</v>
      </c>
      <c r="R48" s="3" t="s">
        <v>86</v>
      </c>
      <c r="S48" s="3" t="s">
        <v>120</v>
      </c>
      <c r="AF48" s="3" t="s">
        <v>164</v>
      </c>
      <c r="AG48" s="3" t="s">
        <v>164</v>
      </c>
    </row>
    <row r="49">
      <c r="A49" s="3" t="s">
        <v>89</v>
      </c>
      <c r="B49" s="3" t="s">
        <v>165</v>
      </c>
      <c r="C49" s="3" t="s">
        <v>54</v>
      </c>
      <c r="L49" s="3" t="s">
        <v>163</v>
      </c>
      <c r="N49" s="6">
        <v>46207.0</v>
      </c>
      <c r="O49" s="3" t="s">
        <v>95</v>
      </c>
      <c r="AF49" s="3" t="s">
        <v>166</v>
      </c>
      <c r="AG49" s="3" t="s">
        <v>166</v>
      </c>
    </row>
    <row r="50">
      <c r="A50" s="3" t="s">
        <v>84</v>
      </c>
      <c r="B50" s="3" t="s">
        <v>167</v>
      </c>
      <c r="C50" s="3" t="s">
        <v>58</v>
      </c>
      <c r="R50" s="3" t="s">
        <v>168</v>
      </c>
      <c r="S50" s="3" t="s">
        <v>87</v>
      </c>
      <c r="AF50" s="3" t="s">
        <v>169</v>
      </c>
      <c r="AG50" s="3" t="s">
        <v>169</v>
      </c>
    </row>
    <row r="51">
      <c r="A51" s="3" t="s">
        <v>89</v>
      </c>
      <c r="B51" s="3" t="s">
        <v>170</v>
      </c>
      <c r="C51" s="3" t="s">
        <v>58</v>
      </c>
      <c r="L51" s="3" t="s">
        <v>167</v>
      </c>
      <c r="N51" s="6">
        <v>46210.0</v>
      </c>
      <c r="O51" s="3" t="s">
        <v>95</v>
      </c>
      <c r="AF51" s="3" t="s">
        <v>171</v>
      </c>
      <c r="AG51" s="3" t="s">
        <v>171</v>
      </c>
    </row>
    <row r="52">
      <c r="A52" s="3" t="s">
        <v>84</v>
      </c>
      <c r="B52" s="3" t="s">
        <v>172</v>
      </c>
      <c r="C52" s="3" t="s">
        <v>58</v>
      </c>
      <c r="R52" s="3" t="s">
        <v>168</v>
      </c>
      <c r="S52" s="3" t="s">
        <v>106</v>
      </c>
      <c r="AF52" s="3" t="s">
        <v>173</v>
      </c>
      <c r="AG52" s="3" t="s">
        <v>173</v>
      </c>
    </row>
    <row r="53">
      <c r="A53" s="3" t="s">
        <v>89</v>
      </c>
      <c r="B53" s="3" t="s">
        <v>174</v>
      </c>
      <c r="C53" s="3" t="s">
        <v>58</v>
      </c>
      <c r="L53" s="3" t="s">
        <v>172</v>
      </c>
      <c r="N53" s="6">
        <v>46213.0</v>
      </c>
      <c r="O53" s="3" t="s">
        <v>95</v>
      </c>
      <c r="AF53" s="3" t="s">
        <v>175</v>
      </c>
      <c r="AG53" s="3" t="s">
        <v>175</v>
      </c>
    </row>
    <row r="54">
      <c r="A54" s="3" t="s">
        <v>84</v>
      </c>
      <c r="B54" s="3" t="s">
        <v>176</v>
      </c>
      <c r="C54" s="3" t="s">
        <v>62</v>
      </c>
      <c r="R54" s="3" t="s">
        <v>168</v>
      </c>
      <c r="S54" s="3" t="s">
        <v>113</v>
      </c>
      <c r="AF54" s="3" t="s">
        <v>177</v>
      </c>
      <c r="AG54" s="3" t="s">
        <v>177</v>
      </c>
    </row>
    <row r="55">
      <c r="A55" s="3" t="s">
        <v>89</v>
      </c>
      <c r="B55" s="3" t="s">
        <v>178</v>
      </c>
      <c r="C55" s="3" t="s">
        <v>62</v>
      </c>
      <c r="L55" s="3" t="s">
        <v>176</v>
      </c>
      <c r="N55" s="6">
        <v>46216.0</v>
      </c>
      <c r="O55" s="3" t="s">
        <v>95</v>
      </c>
      <c r="AF55" s="3" t="s">
        <v>179</v>
      </c>
      <c r="AG55" s="3" t="s">
        <v>179</v>
      </c>
    </row>
    <row r="56">
      <c r="A56" s="3" t="s">
        <v>84</v>
      </c>
      <c r="B56" s="3" t="s">
        <v>180</v>
      </c>
      <c r="C56" s="3" t="s">
        <v>62</v>
      </c>
      <c r="R56" s="3" t="s">
        <v>168</v>
      </c>
      <c r="S56" s="3" t="s">
        <v>120</v>
      </c>
      <c r="AF56" s="3" t="s">
        <v>181</v>
      </c>
      <c r="AG56" s="3" t="s">
        <v>181</v>
      </c>
    </row>
    <row r="57">
      <c r="A57" s="3" t="s">
        <v>89</v>
      </c>
      <c r="B57" s="3" t="s">
        <v>182</v>
      </c>
      <c r="C57" s="3" t="s">
        <v>62</v>
      </c>
      <c r="L57" s="3" t="s">
        <v>180</v>
      </c>
      <c r="N57" s="6">
        <v>46219.0</v>
      </c>
      <c r="O57" s="3" t="s">
        <v>95</v>
      </c>
      <c r="AF57" s="3" t="s">
        <v>183</v>
      </c>
      <c r="AG57" s="3" t="s">
        <v>183</v>
      </c>
    </row>
    <row r="58">
      <c r="A58" s="3" t="s">
        <v>184</v>
      </c>
      <c r="B58" s="3" t="s">
        <v>185</v>
      </c>
      <c r="C58" s="3" t="s">
        <v>34</v>
      </c>
      <c r="Z58" s="3" t="s">
        <v>186</v>
      </c>
      <c r="AA58" s="3" t="s">
        <v>187</v>
      </c>
      <c r="AB58" s="3" t="s">
        <v>188</v>
      </c>
      <c r="AC58" s="3" t="s">
        <v>189</v>
      </c>
      <c r="AE58" s="3" t="s">
        <v>190</v>
      </c>
      <c r="AF58" s="3" t="s">
        <v>189</v>
      </c>
    </row>
    <row r="59">
      <c r="A59" s="3" t="s">
        <v>191</v>
      </c>
      <c r="B59" s="3" t="s">
        <v>192</v>
      </c>
      <c r="C59" s="3" t="s">
        <v>34</v>
      </c>
      <c r="V59" s="3"/>
      <c r="W59" s="3" t="s">
        <v>185</v>
      </c>
      <c r="X59" s="3" t="s">
        <v>193</v>
      </c>
      <c r="Y59" s="3" t="s">
        <v>194</v>
      </c>
      <c r="AE59" s="3" t="s">
        <v>195</v>
      </c>
      <c r="AF59" s="3" t="s">
        <v>195</v>
      </c>
    </row>
    <row r="60">
      <c r="A60" s="3" t="s">
        <v>184</v>
      </c>
      <c r="B60" s="3" t="s">
        <v>196</v>
      </c>
      <c r="C60" s="3" t="s">
        <v>34</v>
      </c>
      <c r="Z60" s="3" t="s">
        <v>186</v>
      </c>
      <c r="AA60" s="3" t="s">
        <v>187</v>
      </c>
      <c r="AB60" s="3" t="s">
        <v>197</v>
      </c>
      <c r="AC60" s="3" t="s">
        <v>195</v>
      </c>
      <c r="AE60" s="3" t="s">
        <v>198</v>
      </c>
      <c r="AF60" s="3" t="s">
        <v>195</v>
      </c>
    </row>
    <row r="61">
      <c r="A61" s="3" t="s">
        <v>191</v>
      </c>
      <c r="B61" s="3" t="s">
        <v>199</v>
      </c>
      <c r="C61" s="3" t="s">
        <v>34</v>
      </c>
      <c r="V61" s="3"/>
      <c r="W61" s="3" t="s">
        <v>196</v>
      </c>
      <c r="X61" s="3" t="s">
        <v>193</v>
      </c>
      <c r="Y61" s="3" t="s">
        <v>194</v>
      </c>
      <c r="AE61" s="3" t="s">
        <v>200</v>
      </c>
      <c r="AF61" s="3" t="s">
        <v>200</v>
      </c>
    </row>
    <row r="62">
      <c r="A62" s="3" t="s">
        <v>184</v>
      </c>
      <c r="B62" s="3" t="s">
        <v>201</v>
      </c>
      <c r="C62" s="3" t="s">
        <v>34</v>
      </c>
      <c r="Z62" s="3" t="s">
        <v>186</v>
      </c>
      <c r="AA62" s="3" t="s">
        <v>187</v>
      </c>
      <c r="AB62" s="3" t="s">
        <v>189</v>
      </c>
      <c r="AC62" s="3" t="s">
        <v>200</v>
      </c>
      <c r="AE62" s="3" t="s">
        <v>202</v>
      </c>
      <c r="AF62" s="3" t="s">
        <v>200</v>
      </c>
    </row>
    <row r="63">
      <c r="A63" s="3" t="s">
        <v>191</v>
      </c>
      <c r="B63" s="3" t="s">
        <v>203</v>
      </c>
      <c r="C63" s="3" t="s">
        <v>34</v>
      </c>
      <c r="V63" s="3"/>
      <c r="W63" s="3" t="s">
        <v>201</v>
      </c>
      <c r="X63" s="3" t="s">
        <v>193</v>
      </c>
      <c r="Y63" s="3" t="s">
        <v>194</v>
      </c>
      <c r="AE63" s="3" t="s">
        <v>204</v>
      </c>
      <c r="AF63" s="3" t="s">
        <v>204</v>
      </c>
    </row>
    <row r="64">
      <c r="A64" s="3" t="s">
        <v>184</v>
      </c>
      <c r="B64" s="3" t="s">
        <v>205</v>
      </c>
      <c r="C64" s="3" t="s">
        <v>38</v>
      </c>
      <c r="Z64" s="3" t="s">
        <v>206</v>
      </c>
      <c r="AA64" s="3" t="s">
        <v>187</v>
      </c>
      <c r="AB64" s="3" t="s">
        <v>207</v>
      </c>
      <c r="AC64" s="3" t="s">
        <v>208</v>
      </c>
      <c r="AE64" s="3" t="s">
        <v>209</v>
      </c>
      <c r="AF64" s="3" t="s">
        <v>208</v>
      </c>
    </row>
    <row r="65">
      <c r="A65" s="3" t="s">
        <v>191</v>
      </c>
      <c r="B65" s="3" t="s">
        <v>210</v>
      </c>
      <c r="C65" s="3" t="s">
        <v>38</v>
      </c>
      <c r="V65" s="3"/>
      <c r="W65" s="3" t="s">
        <v>205</v>
      </c>
      <c r="X65" s="3" t="s">
        <v>193</v>
      </c>
      <c r="Y65" s="3" t="s">
        <v>194</v>
      </c>
      <c r="AE65" s="3" t="s">
        <v>211</v>
      </c>
      <c r="AF65" s="3" t="s">
        <v>211</v>
      </c>
    </row>
    <row r="66">
      <c r="A66" s="3" t="s">
        <v>184</v>
      </c>
      <c r="B66" s="3" t="s">
        <v>212</v>
      </c>
      <c r="C66" s="3" t="s">
        <v>38</v>
      </c>
      <c r="Z66" s="3" t="s">
        <v>206</v>
      </c>
      <c r="AA66" s="3" t="s">
        <v>187</v>
      </c>
      <c r="AB66" s="3" t="s">
        <v>213</v>
      </c>
      <c r="AC66" s="3" t="s">
        <v>211</v>
      </c>
      <c r="AE66" s="3" t="s">
        <v>214</v>
      </c>
      <c r="AF66" s="3" t="s">
        <v>211</v>
      </c>
    </row>
    <row r="67">
      <c r="A67" s="3" t="s">
        <v>191</v>
      </c>
      <c r="B67" s="3" t="s">
        <v>215</v>
      </c>
      <c r="C67" s="3" t="s">
        <v>38</v>
      </c>
      <c r="V67" s="3"/>
      <c r="W67" s="3" t="s">
        <v>212</v>
      </c>
      <c r="X67" s="3" t="s">
        <v>216</v>
      </c>
      <c r="Y67" s="3" t="s">
        <v>217</v>
      </c>
      <c r="AE67" s="3" t="s">
        <v>218</v>
      </c>
      <c r="AF67" s="3" t="s">
        <v>218</v>
      </c>
    </row>
    <row r="68">
      <c r="A68" s="3" t="s">
        <v>184</v>
      </c>
      <c r="B68" s="3" t="s">
        <v>219</v>
      </c>
      <c r="C68" s="3" t="s">
        <v>38</v>
      </c>
      <c r="Z68" s="3" t="s">
        <v>206</v>
      </c>
      <c r="AA68" s="3" t="s">
        <v>187</v>
      </c>
      <c r="AB68" s="3" t="s">
        <v>208</v>
      </c>
      <c r="AC68" s="3" t="s">
        <v>218</v>
      </c>
      <c r="AE68" s="3" t="s">
        <v>220</v>
      </c>
      <c r="AF68" s="3" t="s">
        <v>218</v>
      </c>
    </row>
    <row r="69">
      <c r="A69" s="3" t="s">
        <v>191</v>
      </c>
      <c r="B69" s="3" t="s">
        <v>221</v>
      </c>
      <c r="C69" s="3" t="s">
        <v>38</v>
      </c>
      <c r="V69" s="3"/>
      <c r="W69" s="3" t="s">
        <v>219</v>
      </c>
      <c r="X69" s="3" t="s">
        <v>216</v>
      </c>
      <c r="Y69" s="3" t="s">
        <v>217</v>
      </c>
      <c r="AE69" s="3" t="s">
        <v>222</v>
      </c>
      <c r="AF69" s="3" t="s">
        <v>222</v>
      </c>
    </row>
    <row r="70">
      <c r="A70" s="3" t="s">
        <v>184</v>
      </c>
      <c r="B70" s="3" t="s">
        <v>223</v>
      </c>
      <c r="C70" s="3" t="s">
        <v>42</v>
      </c>
      <c r="Z70" s="3" t="s">
        <v>224</v>
      </c>
      <c r="AA70" s="3" t="s">
        <v>187</v>
      </c>
      <c r="AB70" s="3" t="s">
        <v>225</v>
      </c>
      <c r="AC70" s="3" t="s">
        <v>226</v>
      </c>
      <c r="AE70" s="3" t="s">
        <v>227</v>
      </c>
      <c r="AF70" s="3" t="s">
        <v>226</v>
      </c>
    </row>
    <row r="71">
      <c r="A71" s="3" t="s">
        <v>184</v>
      </c>
      <c r="B71" s="3" t="s">
        <v>228</v>
      </c>
      <c r="C71" s="3" t="s">
        <v>42</v>
      </c>
      <c r="Z71" s="3" t="s">
        <v>224</v>
      </c>
      <c r="AA71" s="3" t="s">
        <v>187</v>
      </c>
      <c r="AB71" s="3" t="s">
        <v>229</v>
      </c>
      <c r="AC71" s="3" t="s">
        <v>230</v>
      </c>
      <c r="AE71" s="3" t="s">
        <v>231</v>
      </c>
      <c r="AF71" s="3" t="s">
        <v>230</v>
      </c>
    </row>
    <row r="72">
      <c r="A72" s="3" t="s">
        <v>184</v>
      </c>
      <c r="B72" s="3" t="s">
        <v>232</v>
      </c>
      <c r="C72" s="3" t="s">
        <v>42</v>
      </c>
      <c r="Z72" s="3" t="s">
        <v>224</v>
      </c>
      <c r="AA72" s="3" t="s">
        <v>187</v>
      </c>
      <c r="AB72" s="3" t="s">
        <v>226</v>
      </c>
      <c r="AC72" s="3" t="s">
        <v>233</v>
      </c>
      <c r="AE72" s="3" t="s">
        <v>234</v>
      </c>
      <c r="AF72" s="3" t="s">
        <v>233</v>
      </c>
    </row>
    <row r="73">
      <c r="A73" s="3" t="s">
        <v>184</v>
      </c>
      <c r="B73" s="3" t="s">
        <v>235</v>
      </c>
      <c r="C73" s="3" t="s">
        <v>46</v>
      </c>
      <c r="Z73" s="3" t="s">
        <v>236</v>
      </c>
      <c r="AA73" s="3" t="s">
        <v>187</v>
      </c>
      <c r="AB73" s="3" t="s">
        <v>237</v>
      </c>
      <c r="AC73" s="3" t="s">
        <v>238</v>
      </c>
      <c r="AE73" s="3" t="s">
        <v>239</v>
      </c>
      <c r="AF73" s="3" t="s">
        <v>238</v>
      </c>
    </row>
    <row r="74">
      <c r="A74" s="3" t="s">
        <v>184</v>
      </c>
      <c r="B74" s="3" t="s">
        <v>240</v>
      </c>
      <c r="C74" s="3" t="s">
        <v>46</v>
      </c>
      <c r="Z74" s="3" t="s">
        <v>236</v>
      </c>
      <c r="AA74" s="3" t="s">
        <v>187</v>
      </c>
      <c r="AB74" s="3" t="s">
        <v>241</v>
      </c>
      <c r="AE74" s="3" t="s">
        <v>242</v>
      </c>
      <c r="AF74" s="3" t="s">
        <v>241</v>
      </c>
    </row>
    <row r="75">
      <c r="A75" s="3" t="s">
        <v>184</v>
      </c>
      <c r="B75" s="3" t="s">
        <v>243</v>
      </c>
      <c r="C75" s="3" t="s">
        <v>46</v>
      </c>
      <c r="Z75" s="3" t="s">
        <v>236</v>
      </c>
      <c r="AA75" s="3" t="s">
        <v>244</v>
      </c>
      <c r="AB75" s="3" t="s">
        <v>238</v>
      </c>
      <c r="AD75" s="3" t="s">
        <v>245</v>
      </c>
      <c r="AE75" s="3" t="s">
        <v>246</v>
      </c>
      <c r="AF75" s="3" t="s">
        <v>245</v>
      </c>
    </row>
    <row r="76">
      <c r="A76" s="3" t="s">
        <v>184</v>
      </c>
      <c r="B76" s="3" t="s">
        <v>247</v>
      </c>
      <c r="C76" s="3" t="s">
        <v>50</v>
      </c>
      <c r="Z76" s="3" t="s">
        <v>248</v>
      </c>
      <c r="AA76" s="3" t="s">
        <v>187</v>
      </c>
      <c r="AB76" s="3" t="s">
        <v>249</v>
      </c>
      <c r="AE76" s="3" t="s">
        <v>250</v>
      </c>
      <c r="AF76" s="3" t="s">
        <v>249</v>
      </c>
    </row>
    <row r="77">
      <c r="A77" s="3" t="s">
        <v>184</v>
      </c>
      <c r="B77" s="3" t="s">
        <v>251</v>
      </c>
      <c r="C77" s="3" t="s">
        <v>50</v>
      </c>
      <c r="Z77" s="3" t="s">
        <v>248</v>
      </c>
      <c r="AA77" s="3" t="s">
        <v>244</v>
      </c>
      <c r="AB77" s="3" t="s">
        <v>252</v>
      </c>
      <c r="AD77" s="3" t="s">
        <v>253</v>
      </c>
      <c r="AE77" s="3" t="s">
        <v>254</v>
      </c>
      <c r="AF77" s="3" t="s">
        <v>253</v>
      </c>
    </row>
    <row r="78">
      <c r="A78" s="3" t="s">
        <v>184</v>
      </c>
      <c r="B78" s="3" t="s">
        <v>255</v>
      </c>
      <c r="C78" s="3" t="s">
        <v>54</v>
      </c>
      <c r="Z78" s="3" t="s">
        <v>256</v>
      </c>
      <c r="AA78" s="3" t="s">
        <v>187</v>
      </c>
      <c r="AB78" s="3" t="s">
        <v>257</v>
      </c>
      <c r="AE78" s="3" t="s">
        <v>258</v>
      </c>
      <c r="AF78" s="3" t="s">
        <v>257</v>
      </c>
    </row>
    <row r="79">
      <c r="A79" s="3" t="s">
        <v>184</v>
      </c>
      <c r="B79" s="3" t="s">
        <v>259</v>
      </c>
      <c r="C79" s="3" t="s">
        <v>54</v>
      </c>
      <c r="Z79" s="3" t="s">
        <v>256</v>
      </c>
      <c r="AA79" s="3" t="s">
        <v>244</v>
      </c>
      <c r="AB79" s="3" t="s">
        <v>260</v>
      </c>
      <c r="AD79" s="3" t="s">
        <v>261</v>
      </c>
      <c r="AE79" s="3" t="s">
        <v>262</v>
      </c>
      <c r="AF79" s="3" t="s">
        <v>261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82F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4" width="11.63"/>
    <col customWidth="1" min="5" max="5" width="15.38"/>
    <col customWidth="1" min="6" max="6" width="11.63"/>
    <col customWidth="1" min="7" max="7" width="15.88"/>
    <col customWidth="1" min="8" max="8" width="11.63"/>
    <col customWidth="1" min="9" max="9" width="15.75"/>
    <col customWidth="1" min="10" max="10" width="11.63"/>
    <col customWidth="1" min="11" max="11" width="15.0"/>
    <col customWidth="1" min="12" max="16" width="11.63"/>
    <col customWidth="1" min="17" max="18" width="12.0"/>
  </cols>
  <sheetData>
    <row r="1" ht="25.5" customHeight="1">
      <c r="A1" s="7" t="s">
        <v>263</v>
      </c>
      <c r="M1" s="8" t="s">
        <v>264</v>
      </c>
    </row>
    <row r="2" ht="25.5" customHeight="1"/>
    <row r="3" ht="19.5" customHeight="1">
      <c r="A3" s="9" t="s">
        <v>265</v>
      </c>
    </row>
    <row r="4" ht="19.5" customHeight="1"/>
    <row r="5" ht="21.0" customHeight="1">
      <c r="A5" s="10" t="s">
        <v>266</v>
      </c>
    </row>
    <row r="6" ht="39.75" customHeight="1">
      <c r="A6" s="11" t="s">
        <v>267</v>
      </c>
      <c r="B6" s="12"/>
      <c r="C6" s="12"/>
      <c r="D6" s="13"/>
      <c r="E6" s="11" t="s">
        <v>268</v>
      </c>
      <c r="F6" s="12"/>
      <c r="G6" s="12"/>
      <c r="H6" s="13"/>
      <c r="I6" s="11" t="s">
        <v>269</v>
      </c>
      <c r="J6" s="12"/>
      <c r="K6" s="12"/>
      <c r="L6" s="13"/>
      <c r="M6" s="11" t="s">
        <v>270</v>
      </c>
      <c r="N6" s="12"/>
      <c r="O6" s="12"/>
      <c r="P6" s="13"/>
      <c r="Q6" s="14"/>
      <c r="R6" s="14"/>
    </row>
    <row r="7" ht="21.0" customHeight="1">
      <c r="A7" s="15">
        <f>IFERROR($K$14/$I$14,0)</f>
        <v>0.6666666667</v>
      </c>
      <c r="B7" s="16"/>
      <c r="C7" s="16"/>
      <c r="D7" s="17"/>
      <c r="E7" s="15">
        <f>IFERROR($G$14/$E$14,0)</f>
        <v>0.625</v>
      </c>
      <c r="F7" s="16"/>
      <c r="G7" s="16"/>
      <c r="H7" s="17"/>
      <c r="I7" s="15">
        <f>IFERROR($I$14/$G$14,0)</f>
        <v>0.6</v>
      </c>
      <c r="J7" s="16"/>
      <c r="K7" s="16"/>
      <c r="L7" s="17"/>
      <c r="M7" s="15">
        <f>IFERROR($C$14/$A$14,0)</f>
        <v>0.75</v>
      </c>
      <c r="N7" s="16"/>
      <c r="O7" s="16"/>
      <c r="P7" s="17"/>
    </row>
    <row r="8" ht="21.0" customHeight="1">
      <c r="A8" s="18"/>
      <c r="D8" s="19"/>
      <c r="E8" s="18"/>
      <c r="H8" s="19"/>
      <c r="I8" s="18"/>
      <c r="L8" s="19"/>
      <c r="M8" s="18"/>
      <c r="P8" s="19"/>
    </row>
    <row r="9" ht="21.0" customHeight="1">
      <c r="A9" s="20"/>
      <c r="B9" s="21"/>
      <c r="C9" s="21"/>
      <c r="D9" s="22"/>
      <c r="E9" s="20"/>
      <c r="F9" s="21"/>
      <c r="G9" s="21"/>
      <c r="H9" s="22"/>
      <c r="I9" s="20"/>
      <c r="J9" s="21"/>
      <c r="K9" s="21"/>
      <c r="L9" s="22"/>
      <c r="M9" s="20"/>
      <c r="N9" s="21"/>
      <c r="O9" s="21"/>
      <c r="P9" s="22"/>
    </row>
    <row r="10" ht="21.0" customHeight="1">
      <c r="A10" s="23" t="str">
        <f>TEXT($K$14,"0")&amp;" of "&amp;TEXT($I$14,"0")&amp;" feedback ratings are helpful"</f>
        <v>4 of 6 feedback ratings are helpful</v>
      </c>
      <c r="B10" s="12"/>
      <c r="C10" s="12"/>
      <c r="D10" s="13"/>
      <c r="E10" s="23" t="str">
        <f>TEXT($G$14,"0")&amp;" of "&amp;TEXT($E$14,"0")&amp;" shown recommendations reviewed"</f>
        <v>10 of 16 shown recommendations reviewed</v>
      </c>
      <c r="F10" s="12"/>
      <c r="G10" s="12"/>
      <c r="H10" s="13"/>
      <c r="I10" s="23" t="str">
        <f>TEXT($I$14,"0")&amp;" of "&amp;TEXT($G$14,"0")&amp;" reviewed recommendations rated"</f>
        <v>6 of 10 reviewed recommendations rated</v>
      </c>
      <c r="J10" s="12"/>
      <c r="K10" s="12"/>
      <c r="L10" s="13"/>
      <c r="M10" s="23" t="str">
        <f>TEXT($C$14,"0")&amp;" of "&amp;TEXT($A$14,"0")&amp;" activated users are context ready"</f>
        <v>6 of 8 activated users are context ready</v>
      </c>
      <c r="N10" s="12"/>
      <c r="O10" s="12"/>
      <c r="P10" s="13"/>
    </row>
    <row r="11" ht="21.0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ht="21.0" customHeight="1">
      <c r="A12" s="25" t="s">
        <v>271</v>
      </c>
    </row>
    <row r="13" ht="48.75" customHeight="1">
      <c r="A13" s="26" t="s">
        <v>272</v>
      </c>
      <c r="B13" s="13"/>
      <c r="C13" s="26" t="s">
        <v>273</v>
      </c>
      <c r="D13" s="13"/>
      <c r="E13" s="26" t="s">
        <v>274</v>
      </c>
      <c r="F13" s="13"/>
      <c r="G13" s="26" t="s">
        <v>275</v>
      </c>
      <c r="H13" s="13"/>
      <c r="I13" s="26" t="s">
        <v>276</v>
      </c>
      <c r="J13" s="13"/>
      <c r="K13" s="26" t="s">
        <v>277</v>
      </c>
      <c r="L13" s="13"/>
      <c r="M13" s="24"/>
      <c r="N13" s="24"/>
      <c r="O13" s="24"/>
      <c r="P13" s="24"/>
    </row>
    <row r="14" ht="21.0" customHeight="1">
      <c r="A14" s="27">
        <f>COUNTIFS(Data_Source!$A$2:$A60,"auth.users",Data_Source!$E$2:$E60,"&lt;&gt;")</f>
        <v>8</v>
      </c>
      <c r="B14" s="17"/>
      <c r="C14" s="27">
        <f>COUNTIFS(Data_Source!$A$2:$A60,"auth.users",Data_Source!$AG$2:$AG60,1)</f>
        <v>6</v>
      </c>
      <c r="D14" s="17"/>
      <c r="E14" s="27">
        <f>COUNTIFS(Data_Source!$A$2:$A60,"recommendations",Data_Source!$AB$2:$AB60,"&lt;&gt;")</f>
        <v>16</v>
      </c>
      <c r="F14" s="17"/>
      <c r="G14" s="27">
        <f>COUNTIFS(Data_Source!$A$2:$A60,"recommendations",Data_Source!$AC$2:$AC60,"&lt;&gt;")</f>
        <v>10</v>
      </c>
      <c r="H14" s="17"/>
      <c r="I14" s="27">
        <f>COUNTIFS(Data_Source!$A$2:$A60,"recommendation_feedback",Data_Source!$X$2:$X60,"helpful")+COUNTIFS(Data_Source!$A$2:$A60,"recommendation_feedback",Data_Source!$X$2:$X60,"not_helpful")</f>
        <v>6</v>
      </c>
      <c r="J14" s="17"/>
      <c r="K14" s="27">
        <f>COUNTIFS(Data_Source!$A$2:$A60,"recommendation_feedback",Data_Source!$X$2:$X60,"helpful")</f>
        <v>4</v>
      </c>
      <c r="L14" s="17"/>
      <c r="M14" s="24"/>
      <c r="N14" s="24"/>
      <c r="O14" s="24"/>
      <c r="P14" s="24"/>
    </row>
    <row r="15" ht="21.0" customHeight="1">
      <c r="A15" s="20"/>
      <c r="B15" s="22"/>
      <c r="C15" s="20"/>
      <c r="D15" s="22"/>
      <c r="E15" s="20"/>
      <c r="F15" s="22"/>
      <c r="G15" s="20"/>
      <c r="H15" s="22"/>
      <c r="I15" s="20"/>
      <c r="J15" s="22"/>
      <c r="K15" s="20"/>
      <c r="L15" s="22"/>
      <c r="M15" s="24"/>
      <c r="N15" s="24"/>
      <c r="O15" s="24"/>
      <c r="P15" s="24"/>
    </row>
    <row r="16" ht="21.0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ht="21.0" customHeight="1">
      <c r="A17" s="28" t="s">
        <v>278</v>
      </c>
      <c r="I17" s="28" t="s">
        <v>279</v>
      </c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9"/>
      <c r="R27" s="29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9"/>
      <c r="R28" s="29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9"/>
      <c r="R29" s="29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9"/>
      <c r="R30" s="29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9"/>
      <c r="R31" s="29"/>
    </row>
    <row r="32" ht="21.0" customHeight="1">
      <c r="A32" s="25" t="s">
        <v>280</v>
      </c>
      <c r="Q32" s="29"/>
      <c r="R32" s="29"/>
    </row>
    <row r="33" ht="35.25" customHeight="1">
      <c r="A33" s="30" t="s">
        <v>281</v>
      </c>
      <c r="B33" s="12"/>
      <c r="C33" s="12"/>
      <c r="D33" s="13"/>
      <c r="E33" s="31" t="s">
        <v>282</v>
      </c>
      <c r="F33" s="12"/>
      <c r="G33" s="12"/>
      <c r="H33" s="13"/>
      <c r="I33" s="31" t="s">
        <v>283</v>
      </c>
      <c r="J33" s="12"/>
      <c r="K33" s="12"/>
      <c r="L33" s="13"/>
      <c r="M33" s="31" t="s">
        <v>284</v>
      </c>
      <c r="N33" s="12"/>
      <c r="O33" s="12"/>
      <c r="P33" s="13"/>
      <c r="Q33" s="29"/>
      <c r="R33" s="29"/>
    </row>
    <row r="34" ht="21.0" customHeight="1">
      <c r="A34" s="32">
        <f>COUNTIF(Data_Source!$A$2:$A60,"applications")</f>
        <v>16</v>
      </c>
      <c r="B34" s="16"/>
      <c r="C34" s="16"/>
      <c r="D34" s="17"/>
      <c r="E34" s="33">
        <f>IFERROR(COUNTIFS(Data_Source!$A$2:$A60,"application_status_history",Data_Source!$J$2:$J60,"interview")/$A$34,0)</f>
        <v>0.25</v>
      </c>
      <c r="F34" s="16"/>
      <c r="G34" s="16"/>
      <c r="H34" s="17"/>
      <c r="I34" s="33">
        <f>IFERROR(COUNTIFS(Data_Source!$A$2:$A60,"application_status_history",Data_Source!$J$2:$J60,"offer")/$A$34,0)</f>
        <v>0.0625</v>
      </c>
      <c r="J34" s="16"/>
      <c r="K34" s="16"/>
      <c r="L34" s="17"/>
      <c r="M34" s="34">
        <f>IFERROR(MINIFS(Data_Source!$H$2:$H60,Data_Source!$A$2:$A60,"application_outcomes",Data_Source!$G$2:$G60,"offer_accepted")-MINIFS(Data_Source!$N$2:$N60,Data_Source!$A$2:$A60,"applications"),0)</f>
        <v>35</v>
      </c>
      <c r="N34" s="16"/>
      <c r="O34" s="16"/>
      <c r="P34" s="17"/>
      <c r="Q34" s="29"/>
      <c r="R34" s="29"/>
    </row>
    <row r="35" ht="21.0" customHeight="1">
      <c r="A35" s="18"/>
      <c r="D35" s="19"/>
      <c r="E35" s="18"/>
      <c r="H35" s="19"/>
      <c r="I35" s="18"/>
      <c r="L35" s="19"/>
      <c r="M35" s="18"/>
      <c r="P35" s="19"/>
      <c r="Q35" s="29"/>
      <c r="R35" s="29"/>
    </row>
    <row r="36" ht="21.0" customHeight="1">
      <c r="A36" s="20"/>
      <c r="B36" s="21"/>
      <c r="C36" s="21"/>
      <c r="D36" s="22"/>
      <c r="E36" s="20"/>
      <c r="F36" s="21"/>
      <c r="G36" s="21"/>
      <c r="H36" s="22"/>
      <c r="I36" s="20"/>
      <c r="J36" s="21"/>
      <c r="K36" s="21"/>
      <c r="L36" s="22"/>
      <c r="M36" s="20"/>
      <c r="N36" s="21"/>
      <c r="O36" s="21"/>
      <c r="P36" s="22"/>
      <c r="Q36" s="29"/>
      <c r="R36" s="29"/>
    </row>
    <row r="37" ht="21.0" customHeight="1">
      <c r="A37" s="35" t="s">
        <v>285</v>
      </c>
      <c r="B37" s="12"/>
      <c r="C37" s="12"/>
      <c r="D37" s="13"/>
      <c r="E37" s="23" t="str">
        <f>TEXT(COUNTIFS(Data_Source!$A$2:$A60,"application_status_history",Data_Source!$J$2:$J60,"interview"),"0")&amp;" of "&amp;TEXT($A$34,"0")&amp;" applications reached interview"</f>
        <v>4 of 16 applications reached interview</v>
      </c>
      <c r="F37" s="12"/>
      <c r="G37" s="12"/>
      <c r="H37" s="13"/>
      <c r="I37" s="23" t="str">
        <f>TEXT(COUNTIFS(Data_Source!$A$2:$A60,"application_status_history",Data_Source!$J$2:$J60,"offer"),"0")&amp;" of "&amp;TEXT($A$34,"0")&amp;" applications reached offer"</f>
        <v>1 of 16 applications reached offer</v>
      </c>
      <c r="J37" s="12"/>
      <c r="K37" s="12"/>
      <c r="L37" s="13"/>
      <c r="M37" s="35" t="s">
        <v>286</v>
      </c>
      <c r="N37" s="12"/>
      <c r="O37" s="12"/>
      <c r="P37" s="13"/>
      <c r="Q37" s="29"/>
      <c r="R37" s="29"/>
    </row>
    <row r="38" ht="21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9"/>
      <c r="R38" s="29"/>
    </row>
    <row r="39" ht="21.0" customHeight="1">
      <c r="A39" s="36" t="s">
        <v>287</v>
      </c>
      <c r="I39" s="36" t="s">
        <v>288</v>
      </c>
      <c r="Q39" s="29"/>
      <c r="R39" s="29"/>
    </row>
    <row r="40">
      <c r="A40" s="24"/>
      <c r="B40" s="24"/>
      <c r="C40" s="24"/>
      <c r="D40" s="24"/>
      <c r="E40" s="24"/>
      <c r="F40" s="24"/>
      <c r="G40" s="24"/>
      <c r="H40" s="24"/>
      <c r="I40" s="37" t="s">
        <v>289</v>
      </c>
      <c r="J40" s="16"/>
      <c r="K40" s="16"/>
      <c r="L40" s="16"/>
      <c r="M40" s="16"/>
      <c r="N40" s="16"/>
      <c r="O40" s="16"/>
      <c r="P40" s="17"/>
      <c r="Q40" s="38" t="s">
        <v>23</v>
      </c>
      <c r="R40" s="38" t="s">
        <v>184</v>
      </c>
    </row>
    <row r="41">
      <c r="A41" s="24"/>
      <c r="B41" s="24"/>
      <c r="C41" s="24"/>
      <c r="D41" s="24"/>
      <c r="E41" s="24"/>
      <c r="F41" s="24"/>
      <c r="G41" s="24"/>
      <c r="H41" s="24"/>
      <c r="I41" s="18"/>
      <c r="P41" s="19"/>
      <c r="Q41" s="38" t="s">
        <v>193</v>
      </c>
      <c r="R41" s="29">
        <f>COUNTIFS(Data_Source!$A$2:$A60,"recommendation_feedback",Data_Source!$X$2:$X60,"helpful")</f>
        <v>4</v>
      </c>
    </row>
    <row r="42">
      <c r="A42" s="24"/>
      <c r="B42" s="24"/>
      <c r="C42" s="24"/>
      <c r="D42" s="24"/>
      <c r="E42" s="24"/>
      <c r="F42" s="24"/>
      <c r="G42" s="24"/>
      <c r="H42" s="24"/>
      <c r="I42" s="18"/>
      <c r="P42" s="19"/>
      <c r="Q42" s="38" t="s">
        <v>216</v>
      </c>
      <c r="R42" s="29">
        <f>COUNTIFS(Data_Source!$A$2:$A60,"recommendation_feedback",Data_Source!$X$2:$X60,"not_helpful")</f>
        <v>2</v>
      </c>
    </row>
    <row r="43">
      <c r="A43" s="24"/>
      <c r="B43" s="24"/>
      <c r="C43" s="24"/>
      <c r="D43" s="24"/>
      <c r="E43" s="24"/>
      <c r="F43" s="24"/>
      <c r="G43" s="24"/>
      <c r="H43" s="24"/>
      <c r="I43" s="18"/>
      <c r="P43" s="19"/>
      <c r="Q43" s="29"/>
      <c r="R43" s="29"/>
    </row>
    <row r="44">
      <c r="A44" s="24"/>
      <c r="B44" s="24"/>
      <c r="C44" s="24"/>
      <c r="D44" s="24"/>
      <c r="E44" s="24"/>
      <c r="F44" s="24"/>
      <c r="G44" s="24"/>
      <c r="H44" s="24"/>
      <c r="I44" s="18"/>
      <c r="P44" s="19"/>
      <c r="Q44" s="29"/>
      <c r="R44" s="29"/>
    </row>
    <row r="45" ht="33.0" customHeight="1">
      <c r="A45" s="24"/>
      <c r="B45" s="24"/>
      <c r="C45" s="24"/>
      <c r="D45" s="24"/>
      <c r="E45" s="24"/>
      <c r="F45" s="24"/>
      <c r="G45" s="24"/>
      <c r="H45" s="24"/>
      <c r="I45" s="20"/>
      <c r="J45" s="21"/>
      <c r="K45" s="21"/>
      <c r="L45" s="21"/>
      <c r="M45" s="21"/>
      <c r="N45" s="21"/>
      <c r="O45" s="21"/>
      <c r="P45" s="22"/>
      <c r="Q45" s="38" t="s">
        <v>26</v>
      </c>
      <c r="R45" s="38" t="s">
        <v>184</v>
      </c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38" t="s">
        <v>187</v>
      </c>
      <c r="R46" s="29">
        <f>COUNTIFS(Data_Source!$A$2:$A60,"recommendations",Data_Source!$AA$2:$AA60,"active")</f>
        <v>13</v>
      </c>
    </row>
    <row r="47">
      <c r="A47" s="24"/>
      <c r="B47" s="24"/>
      <c r="C47" s="24"/>
      <c r="D47" s="24"/>
      <c r="E47" s="24"/>
      <c r="F47" s="24"/>
      <c r="G47" s="24"/>
      <c r="H47" s="24"/>
      <c r="I47" s="39" t="s">
        <v>290</v>
      </c>
      <c r="J47" s="16"/>
      <c r="K47" s="16"/>
      <c r="L47" s="16"/>
      <c r="M47" s="16"/>
      <c r="N47" s="16"/>
      <c r="O47" s="16"/>
      <c r="P47" s="17"/>
      <c r="Q47" s="38" t="s">
        <v>244</v>
      </c>
      <c r="R47" s="29">
        <f>COUNTIFS(Data_Source!$A$2:$A60,"recommendations",Data_Source!$AA$2:$AA60,"dismissed")</f>
        <v>3</v>
      </c>
    </row>
    <row r="48">
      <c r="A48" s="24"/>
      <c r="B48" s="24"/>
      <c r="C48" s="24"/>
      <c r="D48" s="24"/>
      <c r="E48" s="24"/>
      <c r="F48" s="24"/>
      <c r="G48" s="24"/>
      <c r="H48" s="24"/>
      <c r="I48" s="18"/>
      <c r="P48" s="19"/>
      <c r="Q48" s="29"/>
      <c r="R48" s="29"/>
    </row>
    <row r="49">
      <c r="A49" s="24"/>
      <c r="B49" s="24"/>
      <c r="C49" s="24"/>
      <c r="D49" s="24"/>
      <c r="E49" s="24"/>
      <c r="F49" s="24"/>
      <c r="G49" s="24"/>
      <c r="H49" s="24"/>
      <c r="I49" s="18"/>
      <c r="P49" s="19"/>
      <c r="Q49" s="29"/>
      <c r="R49" s="29"/>
    </row>
    <row r="50">
      <c r="A50" s="24"/>
      <c r="B50" s="24"/>
      <c r="C50" s="24"/>
      <c r="D50" s="24"/>
      <c r="E50" s="24"/>
      <c r="F50" s="24"/>
      <c r="G50" s="24"/>
      <c r="H50" s="24"/>
      <c r="I50" s="18"/>
      <c r="P50" s="19"/>
      <c r="Q50" s="38" t="s">
        <v>18</v>
      </c>
      <c r="R50" s="38" t="s">
        <v>84</v>
      </c>
    </row>
    <row r="51">
      <c r="A51" s="24"/>
      <c r="B51" s="24"/>
      <c r="C51" s="24"/>
      <c r="D51" s="24"/>
      <c r="E51" s="24"/>
      <c r="F51" s="24"/>
      <c r="G51" s="24"/>
      <c r="H51" s="24"/>
      <c r="I51" s="18"/>
      <c r="P51" s="19"/>
      <c r="Q51" s="38" t="s">
        <v>87</v>
      </c>
      <c r="R51" s="29">
        <f>COUNTIFS(Data_Source!$A$2:$A60,"jobs",Data_Source!$S$2:$S60,Q51)</f>
        <v>4</v>
      </c>
    </row>
    <row r="52">
      <c r="A52" s="24"/>
      <c r="B52" s="24"/>
      <c r="C52" s="24"/>
      <c r="D52" s="24"/>
      <c r="E52" s="24"/>
      <c r="F52" s="24"/>
      <c r="G52" s="24"/>
      <c r="H52" s="24"/>
      <c r="I52" s="18"/>
      <c r="P52" s="19"/>
      <c r="Q52" s="38" t="s">
        <v>106</v>
      </c>
      <c r="R52" s="29">
        <f>COUNTIFS(Data_Source!$A$2:$A60,"jobs",Data_Source!$S$2:$S60,Q52)</f>
        <v>4</v>
      </c>
    </row>
    <row r="53">
      <c r="A53" s="24"/>
      <c r="B53" s="24"/>
      <c r="C53" s="24"/>
      <c r="D53" s="24"/>
      <c r="E53" s="24"/>
      <c r="F53" s="24"/>
      <c r="G53" s="24"/>
      <c r="H53" s="24"/>
      <c r="I53" s="20"/>
      <c r="J53" s="21"/>
      <c r="K53" s="21"/>
      <c r="L53" s="21"/>
      <c r="M53" s="21"/>
      <c r="N53" s="21"/>
      <c r="O53" s="21"/>
      <c r="P53" s="22"/>
      <c r="Q53" s="38" t="s">
        <v>113</v>
      </c>
      <c r="R53" s="29">
        <f>COUNTIFS(Data_Source!$A$2:$A60,"jobs",Data_Source!$S$2:$S60,Q53)</f>
        <v>4</v>
      </c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38" t="s">
        <v>120</v>
      </c>
      <c r="R54" s="29">
        <f>COUNTIFS(Data_Source!$A$2:$A60,"jobs",Data_Source!$S$2:$S60,Q54)</f>
        <v>4</v>
      </c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9"/>
      <c r="R55" s="29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9"/>
      <c r="R56" s="29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9"/>
      <c r="R57" s="29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9"/>
      <c r="R58" s="29"/>
    </row>
    <row r="59">
      <c r="Q59" s="29"/>
      <c r="R59" s="29"/>
    </row>
  </sheetData>
  <mergeCells count="48">
    <mergeCell ref="E34:H36"/>
    <mergeCell ref="I34:L36"/>
    <mergeCell ref="E37:H37"/>
    <mergeCell ref="I37:L37"/>
    <mergeCell ref="I17:P17"/>
    <mergeCell ref="A32:P32"/>
    <mergeCell ref="A33:D33"/>
    <mergeCell ref="E33:H33"/>
    <mergeCell ref="I33:L33"/>
    <mergeCell ref="M33:P33"/>
    <mergeCell ref="M34:P36"/>
    <mergeCell ref="A1:L2"/>
    <mergeCell ref="M1:P2"/>
    <mergeCell ref="A3:P4"/>
    <mergeCell ref="A5:P5"/>
    <mergeCell ref="E6:H6"/>
    <mergeCell ref="I6:L6"/>
    <mergeCell ref="M6:P6"/>
    <mergeCell ref="I10:L10"/>
    <mergeCell ref="M10:P10"/>
    <mergeCell ref="A6:D6"/>
    <mergeCell ref="A7:D9"/>
    <mergeCell ref="E7:H9"/>
    <mergeCell ref="I7:L9"/>
    <mergeCell ref="M7:P9"/>
    <mergeCell ref="E10:H10"/>
    <mergeCell ref="A12:P12"/>
    <mergeCell ref="A10:D10"/>
    <mergeCell ref="A13:B13"/>
    <mergeCell ref="C13:D13"/>
    <mergeCell ref="E13:F13"/>
    <mergeCell ref="G13:H13"/>
    <mergeCell ref="I13:J13"/>
    <mergeCell ref="K13:L13"/>
    <mergeCell ref="A14:B15"/>
    <mergeCell ref="C14:D15"/>
    <mergeCell ref="E14:F15"/>
    <mergeCell ref="G14:H15"/>
    <mergeCell ref="I14:J15"/>
    <mergeCell ref="K14:L15"/>
    <mergeCell ref="A17:H17"/>
    <mergeCell ref="A34:D36"/>
    <mergeCell ref="A37:D37"/>
    <mergeCell ref="M37:P37"/>
    <mergeCell ref="A39:H39"/>
    <mergeCell ref="I39:P39"/>
    <mergeCell ref="I40:P45"/>
    <mergeCell ref="I47:P53"/>
  </mergeCells>
  <drawing r:id="rId1"/>
</worksheet>
</file>